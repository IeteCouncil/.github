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asy Projects" sheetId="2" state="visible" r:id="rId4"/>
    <sheet name="Intermediate Projects" sheetId="3" state="visible" r:id="rId5"/>
    <sheet name="Industry Projects" sheetId="4" state="visible" r:id="rId6"/>
    <sheet name="Faculty Projects" sheetId="5" state="visible" r:id="rId7"/>
    <sheet name="Research Internship Projec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<sst xmlns="http://schemas.openxmlformats.org/spreadsheetml/2006/main" count="3193" uniqueCount="687">
  <si>
    <t xml:space="preserve">Engineering Project Roadmap — Executive Dashboard</t>
  </si>
  <si>
    <t xml:space="preserve">Beginner → Intermediate → Industry-Level → Research-Level  |  Electronics, Embedded Systems, VLSI, AI/ML, Edge AI &amp; Telecommunications</t>
  </si>
  <si>
    <t xml:space="preserve">Total Projects</t>
  </si>
  <si>
    <t xml:space="preserve">Easy Projects</t>
  </si>
  <si>
    <t xml:space="preserve">Intermediate Projects</t>
  </si>
  <si>
    <t xml:space="preserve">Industry Projects</t>
  </si>
  <si>
    <t xml:space="preserve">Faculty Projects</t>
  </si>
  <si>
    <t xml:space="preserve">Research Internship Projects</t>
  </si>
  <si>
    <t xml:space="preserve">Projects by Difficulty Level</t>
  </si>
  <si>
    <t xml:space="preserve">Projects by Domain</t>
  </si>
  <si>
    <t xml:space="preserve">Difficulty Level</t>
  </si>
  <si>
    <t xml:space="preserve">Project Count</t>
  </si>
  <si>
    <t xml:space="preserve">Domain</t>
  </si>
  <si>
    <t xml:space="preserve">Easy</t>
  </si>
  <si>
    <t xml:space="preserve">Management Systems</t>
  </si>
  <si>
    <t xml:space="preserve">Intermediate</t>
  </si>
  <si>
    <t xml:space="preserve">Embedded Systems</t>
  </si>
  <si>
    <t xml:space="preserve">Industry</t>
  </si>
  <si>
    <t xml:space="preserve">VLSI</t>
  </si>
  <si>
    <t xml:space="preserve">Faculty</t>
  </si>
  <si>
    <t xml:space="preserve">AI/ML</t>
  </si>
  <si>
    <t xml:space="preserve">Research</t>
  </si>
  <si>
    <t xml:space="preserve">Edge AI</t>
  </si>
  <si>
    <t xml:space="preserve">Telecommunications</t>
  </si>
  <si>
    <t xml:space="preserve">Domain × Difficulty Matrix</t>
  </si>
  <si>
    <t xml:space="preserve">Easy Projects  —  Engineering Project Roadmap</t>
  </si>
  <si>
    <t xml:space="preserve">Project ID</t>
  </si>
  <si>
    <t xml:space="preserve">Project Name</t>
  </si>
  <si>
    <t xml:space="preserve">Project Type</t>
  </si>
  <si>
    <t xml:space="preserve">Brief Description</t>
  </si>
  <si>
    <t xml:space="preserve">Key Concepts Learned</t>
  </si>
  <si>
    <t xml:space="preserve">Technologies Used</t>
  </si>
  <si>
    <t xml:space="preserve">Hardware Required</t>
  </si>
  <si>
    <t xml:space="preserve">Software Required</t>
  </si>
  <si>
    <t xml:space="preserve">Estimated Duration</t>
  </si>
  <si>
    <t xml:space="preserve">Team Size</t>
  </si>
  <si>
    <t xml:space="preserve">Resume Impact</t>
  </si>
  <si>
    <t xml:space="preserve">Placement Relevance</t>
  </si>
  <si>
    <t xml:space="preserve">Research Potential</t>
  </si>
  <si>
    <t xml:space="preserve">Startup Potential</t>
  </si>
  <si>
    <t xml:space="preserve">Suitable Year</t>
  </si>
  <si>
    <t xml:space="preserve">Difficulty Score (1-10)</t>
  </si>
  <si>
    <t xml:space="preserve">P001</t>
  </si>
  <si>
    <t xml:space="preserve">Student Attendance System</t>
  </si>
  <si>
    <t xml:space="preserve">Mini Project</t>
  </si>
  <si>
    <t xml:space="preserve">A beginner-friendly web-based application that lets users record and track daily student attendance through a structured, database-backed system.</t>
  </si>
  <si>
    <t xml:space="preserve">CRUD operations, basic database design, client-server model, form handling &amp; validation</t>
  </si>
  <si>
    <t xml:space="preserve">HTML, CSS, JavaScript, Python (Flask) / PHP, SQLite</t>
  </si>
  <si>
    <t xml:space="preserve">None (software-only project)</t>
  </si>
  <si>
    <t xml:space="preserve">VS Code, XAMPP / Flask dev server, SQLite Browser, Git</t>
  </si>
  <si>
    <t xml:space="preserve">2-3 weeks</t>
  </si>
  <si>
    <t xml:space="preserve">1 (Individual)</t>
  </si>
  <si>
    <t xml:space="preserve">Low</t>
  </si>
  <si>
    <t xml:space="preserve">Medium</t>
  </si>
  <si>
    <t xml:space="preserve">1st Year</t>
  </si>
  <si>
    <t xml:space="preserve">P002</t>
  </si>
  <si>
    <t xml:space="preserve">Library Management System</t>
  </si>
  <si>
    <t xml:space="preserve">A beginner-friendly web-based application that lets users manage book issue, return, and catalog records through a structured, database-backed system.</t>
  </si>
  <si>
    <t xml:space="preserve">P003</t>
  </si>
  <si>
    <t xml:space="preserve">Simple Inventory Tracker</t>
  </si>
  <si>
    <t xml:space="preserve">A beginner-friendly web-based application that lets users track stock levels and item entries for a small store through a structured, database-backed system.</t>
  </si>
  <si>
    <t xml:space="preserve">P004</t>
  </si>
  <si>
    <t xml:space="preserve">Event Registration Portal</t>
  </si>
  <si>
    <t xml:space="preserve">A beginner-friendly web-based application that lets users let participants register and view event details online through a structured, database-backed system.</t>
  </si>
  <si>
    <t xml:space="preserve">P005</t>
  </si>
  <si>
    <t xml:space="preserve">Simple Billing &amp; Invoicing System</t>
  </si>
  <si>
    <t xml:space="preserve">A beginner-friendly web-based application that lets users generate and store customer bills and invoices through a structured, database-backed system.</t>
  </si>
  <si>
    <t xml:space="preserve">P006</t>
  </si>
  <si>
    <t xml:space="preserve">Student Result Management System</t>
  </si>
  <si>
    <t xml:space="preserve">A beginner-friendly web-based application that lets users record, calculate, and display student marks and grades through a structured, database-backed system.</t>
  </si>
  <si>
    <t xml:space="preserve">P007</t>
  </si>
  <si>
    <t xml:space="preserve">Digital Contact Book Application</t>
  </si>
  <si>
    <t xml:space="preserve">A beginner-friendly web-based application that lets users store, search, and manage personal contacts through a structured, database-backed system.</t>
  </si>
  <si>
    <t xml:space="preserve">P008</t>
  </si>
  <si>
    <t xml:space="preserve">Online Quiz Application</t>
  </si>
  <si>
    <t xml:space="preserve">A beginner-friendly web-based application that lets users conduct timed quizzes and auto-score student responses through a structured, database-backed system.</t>
  </si>
  <si>
    <t xml:space="preserve">P009</t>
  </si>
  <si>
    <t xml:space="preserve">Temperature Monitoring System (ESP32)</t>
  </si>
  <si>
    <t xml:space="preserve">A beginner-friendly hardware-software project that uses microcontrollers and sensors to sense ambient temperature and display live readings.</t>
  </si>
  <si>
    <t xml:space="preserve">digital I/O &amp; interrupts, sensor interfacing, basic circuit design, microcontroller programming fundamentals</t>
  </si>
  <si>
    <t xml:space="preserve">Arduino / ESP32, Embedded C/C++</t>
  </si>
  <si>
    <t xml:space="preserve">Arduino Uno / ESP32 board, breadboard, jumper wires, basic sensors (LDR, DHT11, ultrasonic, IR)</t>
  </si>
  <si>
    <t xml:space="preserve">Arduino IDE</t>
  </si>
  <si>
    <t xml:space="preserve">P010</t>
  </si>
  <si>
    <t xml:space="preserve">Smart Dustbin</t>
  </si>
  <si>
    <t xml:space="preserve">A beginner-friendly hardware-software project that uses microcontrollers and sensors to automatically open a dustbin lid using an ultrasonic sensor.</t>
  </si>
  <si>
    <t xml:space="preserve">P011</t>
  </si>
  <si>
    <t xml:space="preserve">Smart Street Light</t>
  </si>
  <si>
    <t xml:space="preserve">A beginner-friendly hardware-software project that uses microcontrollers and sensors to switch street lights on/off automatically based on ambient light.</t>
  </si>
  <si>
    <t xml:space="preserve">P012</t>
  </si>
  <si>
    <t xml:space="preserve">Water Level Indicator</t>
  </si>
  <si>
    <t xml:space="preserve">A beginner-friendly hardware-software project that uses microcontrollers and sensors to detect and alert on water tank levels using sensors.</t>
  </si>
  <si>
    <t xml:space="preserve">P013</t>
  </si>
  <si>
    <t xml:space="preserve">LED Blinking &amp; Pattern Controller (Arduino)</t>
  </si>
  <si>
    <t xml:space="preserve">A beginner-friendly hardware-software project that uses microcontrollers and sensors to control multiple LED blinking patterns programmatically.</t>
  </si>
  <si>
    <t xml:space="preserve">P014</t>
  </si>
  <si>
    <t xml:space="preserve">Digital Thermometer using Arduino</t>
  </si>
  <si>
    <t xml:space="preserve">A beginner-friendly hardware-software project that uses microcontrollers and sensors to measure and display temperature on an LCD in real time.</t>
  </si>
  <si>
    <t xml:space="preserve">P015</t>
  </si>
  <si>
    <t xml:space="preserve">Obstacle-Avoiding Robot</t>
  </si>
  <si>
    <t xml:space="preserve">A beginner-friendly hardware-software project that uses microcontrollers and sensors to navigate around obstacles autonomously using an IR/ultrasonic sensor.</t>
  </si>
  <si>
    <t xml:space="preserve">P016</t>
  </si>
  <si>
    <t xml:space="preserve">Home Security Alarm System</t>
  </si>
  <si>
    <t xml:space="preserve">A beginner-friendly hardware-software project that uses microcontrollers and sensors to trigger an alarm on unauthorized motion or door access.</t>
  </si>
  <si>
    <t xml:space="preserve">P017</t>
  </si>
  <si>
    <t xml:space="preserve">Rain Detector Alarm</t>
  </si>
  <si>
    <t xml:space="preserve">A beginner-friendly hardware-software project that uses microcontrollers and sensors to detect rainfall and trigger an alert using a rain sensor.</t>
  </si>
  <si>
    <t xml:space="preserve">P018</t>
  </si>
  <si>
    <t xml:space="preserve">4-bit ALU Design</t>
  </si>
  <si>
    <t xml:space="preserve">A beginner-friendly digital-design project that involves design and simulate a 4-bit arithmetic-logic unit using hardware description languages.</t>
  </si>
  <si>
    <t xml:space="preserve">combinational &amp; sequential logic design, Boolean algebra, basic RTL coding, waveform simulation</t>
  </si>
  <si>
    <t xml:space="preserve">Verilog / VHDL</t>
  </si>
  <si>
    <t xml:space="preserve">FPGA board (Basys3 / Nexys) — optional for on-board testing</t>
  </si>
  <si>
    <t xml:space="preserve">Xilinx Vivado, ModelSim</t>
  </si>
  <si>
    <t xml:space="preserve">P019</t>
  </si>
  <si>
    <t xml:space="preserve">Traffic Light Controller (Verilog)</t>
  </si>
  <si>
    <t xml:space="preserve">A beginner-friendly digital-design project that involves design a finite-state-machine-based traffic signal controller using hardware description languages.</t>
  </si>
  <si>
    <t xml:space="preserve">P020</t>
  </si>
  <si>
    <t xml:space="preserve">Digital Clock using Verilog</t>
  </si>
  <si>
    <t xml:space="preserve">A beginner-friendly digital-design project that involves design a synthesizable digital clock with hour/minute counters using hardware description languages.</t>
  </si>
  <si>
    <t xml:space="preserve">P021</t>
  </si>
  <si>
    <t xml:space="preserve">Sequence Detector</t>
  </si>
  <si>
    <t xml:space="preserve">A beginner-friendly digital-design project that involves designing a Moore/Mealy FSM that detects a given bit sequence using hardware description languages.</t>
  </si>
  <si>
    <t xml:space="preserve">P022</t>
  </si>
  <si>
    <t xml:space="preserve">Full Adder / Subtractor Design</t>
  </si>
  <si>
    <t xml:space="preserve">A beginner-friendly digital-design project that involves design and verify combinational adder-subtractor circuits using hardware description languages.</t>
  </si>
  <si>
    <t xml:space="preserve">P023</t>
  </si>
  <si>
    <t xml:space="preserve">Multiplexer / Demultiplexer Design</t>
  </si>
  <si>
    <t xml:space="preserve">A beginner-friendly digital-design project that involves design and simulate MUX/DEMUX circuits in Verilog using hardware description languages.</t>
  </si>
  <si>
    <t xml:space="preserve">P024</t>
  </si>
  <si>
    <t xml:space="preserve">BCD to 7-Segment Decoder</t>
  </si>
  <si>
    <t xml:space="preserve">A beginner-friendly digital-design project that involves design a combinational decoder circuit for 7-segment displays using hardware description languages.</t>
  </si>
  <si>
    <t xml:space="preserve">P025</t>
  </si>
  <si>
    <t xml:space="preserve">Simple Up-Down Counter (Verilog)</t>
  </si>
  <si>
    <t xml:space="preserve">A beginner-friendly digital-design project that involves design a synchronous up-down binary counter using hardware description languages.</t>
  </si>
  <si>
    <t xml:space="preserve">P026</t>
  </si>
  <si>
    <t xml:space="preserve">House Price Prediction</t>
  </si>
  <si>
    <t xml:space="preserve">A beginner-friendly machine-learning project that trains and evaluates models to predicting housing prices using regression models.</t>
  </si>
  <si>
    <t xml:space="preserve">data preprocessing &amp; cleaning, supervised learning basics, model evaluation metrics, exploratory data analysis</t>
  </si>
  <si>
    <t xml:space="preserve">Python, scikit-learn, Pandas, NumPy, Matplotlib</t>
  </si>
  <si>
    <t xml:space="preserve">None (standard laptop/CPU sufficient)</t>
  </si>
  <si>
    <t xml:space="preserve">Jupyter Notebook, Google Colab</t>
  </si>
  <si>
    <t xml:space="preserve">P027</t>
  </si>
  <si>
    <t xml:space="preserve">SMS Spam Detection</t>
  </si>
  <si>
    <t xml:space="preserve">A beginner-friendly machine-learning project that trains and evaluates models to classifying SMS messages as spam or legitimate.</t>
  </si>
  <si>
    <t xml:space="preserve">P028</t>
  </si>
  <si>
    <t xml:space="preserve">Movie Recommendation System (Content-Based)</t>
  </si>
  <si>
    <t xml:space="preserve">A beginner-friendly machine-learning project that trains and evaluates models to recommending movies based on content similarity.</t>
  </si>
  <si>
    <t xml:space="preserve">P029</t>
  </si>
  <si>
    <t xml:space="preserve">Handwritten Digit Recognition</t>
  </si>
  <si>
    <t xml:space="preserve">A beginner-friendly machine-learning project that trains and evaluates models to classifying handwritten digits using the MNIST dataset.</t>
  </si>
  <si>
    <t xml:space="preserve">P030</t>
  </si>
  <si>
    <t xml:space="preserve">Iris Flower Classification</t>
  </si>
  <si>
    <t xml:space="preserve">A beginner-friendly machine-learning project that trains and evaluates models to classifying flower species from measurement features.</t>
  </si>
  <si>
    <t xml:space="preserve">P031</t>
  </si>
  <si>
    <t xml:space="preserve">Titanic Survival Prediction</t>
  </si>
  <si>
    <t xml:space="preserve">A beginner-friendly machine-learning project that trains and evaluates models to predicting passenger survival using classic ML classifiers.</t>
  </si>
  <si>
    <t xml:space="preserve">P032</t>
  </si>
  <si>
    <t xml:space="preserve">Sentiment Analysis of Tweets</t>
  </si>
  <si>
    <t xml:space="preserve">A beginner-friendly machine-learning project that trains and evaluates models to classifying tweet sentiment as positive, negative, or neutral.</t>
  </si>
  <si>
    <t xml:space="preserve">P033</t>
  </si>
  <si>
    <t xml:space="preserve">Basic Rule-Based Chatbot</t>
  </si>
  <si>
    <t xml:space="preserve">A beginner-friendly machine-learning project that trains and evaluates models to building a simple chatbot using rule-based pattern matching.</t>
  </si>
  <si>
    <t xml:space="preserve">P034</t>
  </si>
  <si>
    <t xml:space="preserve">Email Spam Classifier</t>
  </si>
  <si>
    <t xml:space="preserve">A beginner-friendly machine-learning project that trains and evaluates models to classifying emails as spam or non-spam using Naive Bayes.</t>
  </si>
  <si>
    <t xml:space="preserve">P035</t>
  </si>
  <si>
    <t xml:space="preserve">Object Detection on Webcam</t>
  </si>
  <si>
    <t xml:space="preserve">A beginner-friendly on-device AI project that deploys a lightweight model to detecting everyday objects live using a pre-trained model in real time.</t>
  </si>
  <si>
    <t xml:space="preserve">basic computer-vision pipelines, image processing fundamentals, lightweight model inference</t>
  </si>
  <si>
    <t xml:space="preserve">Python, OpenCV, TensorFlow Lite</t>
  </si>
  <si>
    <t xml:space="preserve">Webcam, Raspberry Pi (optional)</t>
  </si>
  <si>
    <t xml:space="preserve">Jupyter Notebook / VS Code</t>
  </si>
  <si>
    <t xml:space="preserve">P036</t>
  </si>
  <si>
    <t xml:space="preserve">Hand Gesture Recognition</t>
  </si>
  <si>
    <t xml:space="preserve">A beginner-friendly on-device AI project that deploys a lightweight model to recognizing hand gestures from a webcam feed in real time.</t>
  </si>
  <si>
    <t xml:space="preserve">P037</t>
  </si>
  <si>
    <t xml:space="preserve">Plant Disease Detection (Basic)</t>
  </si>
  <si>
    <t xml:space="preserve">A beginner-friendly on-device AI project that deploys a lightweight model to classifying leaf images as healthy or diseased in real time.</t>
  </si>
  <si>
    <t xml:space="preserve">P038</t>
  </si>
  <si>
    <t xml:space="preserve">Face Mask Detection</t>
  </si>
  <si>
    <t xml:space="preserve">A beginner-friendly on-device AI project that deploys a lightweight model to detecting whether a person is wearing a face mask in real time.</t>
  </si>
  <si>
    <t xml:space="preserve">P039</t>
  </si>
  <si>
    <t xml:space="preserve">PIR-based Motion Detector with Camera Snapshot</t>
  </si>
  <si>
    <t xml:space="preserve">A beginner-friendly on-device AI project that deploys a lightweight model to capturing an image whenever motion is detected in real time.</t>
  </si>
  <si>
    <t xml:space="preserve">P040</t>
  </si>
  <si>
    <t xml:space="preserve">Face Detection on Raspberry Pi</t>
  </si>
  <si>
    <t xml:space="preserve">A beginner-friendly on-device AI project that deploys a lightweight model to detecting faces from a live camera feed on a Pi in real time.</t>
  </si>
  <si>
    <t xml:space="preserve">P041</t>
  </si>
  <si>
    <t xml:space="preserve">Color Detection using OpenCV</t>
  </si>
  <si>
    <t xml:space="preserve">A beginner-friendly on-device AI project that deploys a lightweight model to identifying and labeling dominant colors in a video frame in real time.</t>
  </si>
  <si>
    <t xml:space="preserve">P042</t>
  </si>
  <si>
    <t xml:space="preserve">Hand Gesture Volume Control</t>
  </si>
  <si>
    <t xml:space="preserve">A beginner-friendly on-device AI project that deploys a lightweight model to controlling system volume using hand-gesture tracking in real time.</t>
  </si>
  <si>
    <t xml:space="preserve">P043</t>
  </si>
  <si>
    <t xml:space="preserve">GSM-based SMS Alert System</t>
  </si>
  <si>
    <t xml:space="preserve">A beginner-friendly communication-systems project that sending automated SMS alerts using a GSM module.</t>
  </si>
  <si>
    <t xml:space="preserve">serial communication, AT command sets, basic RF principles, wireless signal fundamentals</t>
  </si>
  <si>
    <t xml:space="preserve">GSM module (SIM800L), Arduino, Bluetooth (HC-05)</t>
  </si>
  <si>
    <t xml:space="preserve">Arduino Uno, GSM/Bluetooth/RF module, antenna</t>
  </si>
  <si>
    <t xml:space="preserve">P044</t>
  </si>
  <si>
    <t xml:space="preserve">RF Signal Strength Monitor</t>
  </si>
  <si>
    <t xml:space="preserve">A beginner-friendly communication-systems project that measuring and displaying RF signal strength readings.</t>
  </si>
  <si>
    <t xml:space="preserve">P045</t>
  </si>
  <si>
    <t xml:space="preserve">Basic VoIP Calling Application</t>
  </si>
  <si>
    <t xml:space="preserve">A beginner-friendly communication-systems project that making voice calls over an IP network.</t>
  </si>
  <si>
    <t xml:space="preserve">P046</t>
  </si>
  <si>
    <t xml:space="preserve">Bluetooth Communication System</t>
  </si>
  <si>
    <t xml:space="preserve">A beginner-friendly communication-systems project that exchanging data between two devices over Bluetooth.</t>
  </si>
  <si>
    <t xml:space="preserve">P047</t>
  </si>
  <si>
    <t xml:space="preserve">Simple Walkie-Talkie using RF Module</t>
  </si>
  <si>
    <t xml:space="preserve">A beginner-friendly communication-systems project that enabling two-way voice communication over RF.</t>
  </si>
  <si>
    <t xml:space="preserve">P048</t>
  </si>
  <si>
    <t xml:space="preserve">Wi-Fi Signal Strength Analyzer</t>
  </si>
  <si>
    <t xml:space="preserve">A beginner-friendly communication-systems project that scanning and visualizing nearby Wi-Fi signal strengths.</t>
  </si>
  <si>
    <t xml:space="preserve">P049</t>
  </si>
  <si>
    <t xml:space="preserve">Basic Intercom System</t>
  </si>
  <si>
    <t xml:space="preserve">A beginner-friendly communication-systems project that enabling two-point audio communication over wired links.</t>
  </si>
  <si>
    <t xml:space="preserve">P050</t>
  </si>
  <si>
    <t xml:space="preserve">DTMF-based Device Control</t>
  </si>
  <si>
    <t xml:space="preserve">A beginner-friendly communication-systems project that controlling appliances remotely using phone DTMF tones.</t>
  </si>
  <si>
    <t xml:space="preserve">Intermediate Projects  —  Engineering Project Roadmap</t>
  </si>
  <si>
    <t xml:space="preserve">P051</t>
  </si>
  <si>
    <t xml:space="preserve">College ERP System (Core Modules)</t>
  </si>
  <si>
    <t xml:space="preserve">Mini/Major Project</t>
  </si>
  <si>
    <t xml:space="preserve">A moderately complex web-based application that lets users manage admissions, academics, and fee records for a college through a structured, database-backed system.</t>
  </si>
  <si>
    <t xml:space="preserve">RESTful API design, authentication &amp; authorization, relational database normalization, MVC architecture</t>
  </si>
  <si>
    <t xml:space="preserve">React.js / Angular, Node.js / Django, MySQL / PostgreSQL, REST APIs</t>
  </si>
  <si>
    <t xml:space="preserve">VS Code, Postman, MySQL Workbench, Git/GitHub</t>
  </si>
  <si>
    <t xml:space="preserve">4-8 weeks</t>
  </si>
  <si>
    <t xml:space="preserve">2-3</t>
  </si>
  <si>
    <t xml:space="preserve">High</t>
  </si>
  <si>
    <t xml:space="preserve">Low-Medium</t>
  </si>
  <si>
    <t xml:space="preserve">2nd - Early 3rd Year</t>
  </si>
  <si>
    <t xml:space="preserve">P052</t>
  </si>
  <si>
    <t xml:space="preserve">Hospital Management System</t>
  </si>
  <si>
    <t xml:space="preserve">A moderately complex web-based application that lets users manage patient records, appointments, and billing for a clinic through a structured, database-backed system.</t>
  </si>
  <si>
    <t xml:space="preserve">P053</t>
  </si>
  <si>
    <t xml:space="preserve">Multi-Branch Inventory Management System</t>
  </si>
  <si>
    <t xml:space="preserve">A moderately complex web-based application that lets users track stock across multiple store branches with sync through a structured, database-backed system.</t>
  </si>
  <si>
    <t xml:space="preserve">P054</t>
  </si>
  <si>
    <t xml:space="preserve">Recruitment Management System</t>
  </si>
  <si>
    <t xml:space="preserve">A moderately complex web-based application that lets users manage job postings, applications, and shortlisting workflows through a structured, database-backed system.</t>
  </si>
  <si>
    <t xml:space="preserve">P055</t>
  </si>
  <si>
    <t xml:space="preserve">Online Learning Management System</t>
  </si>
  <si>
    <t xml:space="preserve">A moderately complex web-based application that lets users deliver courses, assignments, and grading to students online through a structured, database-backed system.</t>
  </si>
  <si>
    <t xml:space="preserve">P056</t>
  </si>
  <si>
    <t xml:space="preserve">Restaurant Table Booking &amp; Ordering System</t>
  </si>
  <si>
    <t xml:space="preserve">A moderately complex web-based application that lets users handle table reservations and online food ordering through a structured, database-backed system.</t>
  </si>
  <si>
    <t xml:space="preserve">P057</t>
  </si>
  <si>
    <t xml:space="preserve">Employee Payroll Management System</t>
  </si>
  <si>
    <t xml:space="preserve">A moderately complex web-based application that lets users automate salary computation, deductions, and payslips through a structured, database-backed system.</t>
  </si>
  <si>
    <t xml:space="preserve">P058</t>
  </si>
  <si>
    <t xml:space="preserve">Real Estate Listing Portal</t>
  </si>
  <si>
    <t xml:space="preserve">A moderately complex web-based application that lets users let users browse, filter, and enquire about property listings through a structured, database-backed system.</t>
  </si>
  <si>
    <t xml:space="preserve">P059</t>
  </si>
  <si>
    <t xml:space="preserve">Smart Home Automation System</t>
  </si>
  <si>
    <t xml:space="preserve">A moderately complex hardware-software project that uses microcontrollers and sensors to control home appliances remotely over Wi-Fi/app.</t>
  </si>
  <si>
    <t xml:space="preserve">IoT communication protocols, cloud data integration, wireless connectivity (Wi-Fi/BLE), real-time data logging &amp; alerts</t>
  </si>
  <si>
    <t xml:space="preserve">ESP32 / ESP8266, MQTT, Firebase / Blynk, C/C++, Python</t>
  </si>
  <si>
    <t xml:space="preserve">ESP32/ESP8266 board, GPS module, relays, motor drivers, assorted sensors, LCD/OLED display</t>
  </si>
  <si>
    <t xml:space="preserve">Arduino IDE, VS Code + PlatformIO, Blynk/Firebase console</t>
  </si>
  <si>
    <t xml:space="preserve">P060</t>
  </si>
  <si>
    <t xml:space="preserve">GPS Vehicle Tracking System</t>
  </si>
  <si>
    <t xml:space="preserve">A moderately complex hardware-software project that uses microcontrollers and sensors to track and log a vehicle's live location over a map.</t>
  </si>
  <si>
    <t xml:space="preserve">P061</t>
  </si>
  <si>
    <t xml:space="preserve">Smart Energy Meter</t>
  </si>
  <si>
    <t xml:space="preserve">A moderately complex hardware-software project that uses microcontrollers and sensors to measure and report household power consumption in real time.</t>
  </si>
  <si>
    <t xml:space="preserve">P062</t>
  </si>
  <si>
    <t xml:space="preserve">Smart Irrigation System</t>
  </si>
  <si>
    <t xml:space="preserve">A moderately complex hardware-software project that uses microcontrollers and sensors to automate irrigation based on soil-moisture sensor data.</t>
  </si>
  <si>
    <t xml:space="preserve">P063</t>
  </si>
  <si>
    <t xml:space="preserve">Bluetooth-Controlled Robot</t>
  </si>
  <si>
    <t xml:space="preserve">A moderately complex hardware-software project that uses microcontrollers and sensors to drive a robot's movement using a smartphone over Bluetooth.</t>
  </si>
  <si>
    <t xml:space="preserve">P064</t>
  </si>
  <si>
    <t xml:space="preserve">Home Automation using Voice Assistant</t>
  </si>
  <si>
    <t xml:space="preserve">A moderately complex hardware-software project that uses microcontrollers and sensors to control appliances through voice commands via cloud APIs.</t>
  </si>
  <si>
    <t xml:space="preserve">P065</t>
  </si>
  <si>
    <t xml:space="preserve">Smart Parking System</t>
  </si>
  <si>
    <t xml:space="preserve">A moderately complex hardware-software project that uses microcontrollers and sensors to detect free slots and guide vehicles to available parking.</t>
  </si>
  <si>
    <t xml:space="preserve">P066</t>
  </si>
  <si>
    <t xml:space="preserve">Weather Station with Cloud Logging</t>
  </si>
  <si>
    <t xml:space="preserve">A moderately complex hardware-software project that uses microcontrollers and sensors to collect and log weather data to a cloud dashboard.</t>
  </si>
  <si>
    <t xml:space="preserve">P067</t>
  </si>
  <si>
    <t xml:space="preserve">Fingerprint-Based Attendance System</t>
  </si>
  <si>
    <t xml:space="preserve">A moderately complex hardware-software project that uses microcontrollers and sensors to authenticate and log attendance using a fingerprint sensor.</t>
  </si>
  <si>
    <t xml:space="preserve">P068</t>
  </si>
  <si>
    <t xml:space="preserve">16-bit RISC Processor Design</t>
  </si>
  <si>
    <t xml:space="preserve">A moderately complex digital-design project that involves design a simplified 16-bit RISC datapath and control unit using hardware description languages.</t>
  </si>
  <si>
    <t xml:space="preserve">finite state machine design, pipelining fundamentals, memory hierarchy basics, testbench-based verification</t>
  </si>
  <si>
    <t xml:space="preserve">Verilog / VHDL, RTL design methodology</t>
  </si>
  <si>
    <t xml:space="preserve">FPGA board (Basys3 / Zynq-7000)</t>
  </si>
  <si>
    <t xml:space="preserve">Xilinx Vivado, ModelSim / QuestaSim</t>
  </si>
  <si>
    <t xml:space="preserve">P069</t>
  </si>
  <si>
    <t xml:space="preserve">UART Communication Controller</t>
  </si>
  <si>
    <t xml:space="preserve">A moderately complex digital-design project that involves design a UART transmitter-receiver IP core using hardware description languages.</t>
  </si>
  <si>
    <t xml:space="preserve">P070</t>
  </si>
  <si>
    <t xml:space="preserve">Cache Memory Controller</t>
  </si>
  <si>
    <t xml:space="preserve">A moderately complex digital-design project that involves design a direct-mapped cache controller with hit/miss logic using hardware description languages.</t>
  </si>
  <si>
    <t xml:space="preserve">P071</t>
  </si>
  <si>
    <t xml:space="preserve">SPI / I2C Controller Design</t>
  </si>
  <si>
    <t xml:space="preserve">A moderately complex digital-design project that involves design master-slave SPI/I2C communication controllers using hardware description languages.</t>
  </si>
  <si>
    <t xml:space="preserve">P072</t>
  </si>
  <si>
    <t xml:space="preserve">FIFO Design and Verification</t>
  </si>
  <si>
    <t xml:space="preserve">A moderately complex digital-design project that involves design a synchronous FIFO with a self-checking testbench using hardware description languages.</t>
  </si>
  <si>
    <t xml:space="preserve">P073</t>
  </si>
  <si>
    <t xml:space="preserve">FPGA-based Digital Clock with Alarm</t>
  </si>
  <si>
    <t xml:space="preserve">A moderately complex digital-design project that involves implement a real-time clock with alarm on FPGA hardware using hardware description languages.</t>
  </si>
  <si>
    <t xml:space="preserve">P074</t>
  </si>
  <si>
    <t xml:space="preserve">Pipelined ALU Design</t>
  </si>
  <si>
    <t xml:space="preserve">A moderately complex digital-design project that involves design a 3-stage pipelined arithmetic-logic unit using hardware description languages.</t>
  </si>
  <si>
    <t xml:space="preserve">P075</t>
  </si>
  <si>
    <t xml:space="preserve">SDRAM Memory Controller</t>
  </si>
  <si>
    <t xml:space="preserve">A moderately complex digital-design project that involves design a controller for SDRAM read/write access timing using hardware description languages.</t>
  </si>
  <si>
    <t xml:space="preserve">P076</t>
  </si>
  <si>
    <t xml:space="preserve">Disease Prediction System</t>
  </si>
  <si>
    <t xml:space="preserve">A moderately complex machine-learning project that trains and evaluates models to predicting the likelihood of common diseases from symptoms/data.</t>
  </si>
  <si>
    <t xml:space="preserve">deep learning fundamentals, model deployment as an API, feature engineering, NLP/CV pipeline design</t>
  </si>
  <si>
    <t xml:space="preserve">Python, TensorFlow / PyTorch, Flask / FastAPI, Pandas</t>
  </si>
  <si>
    <t xml:space="preserve">GPU-enabled machine or free-tier cloud GPU (Colab/Kaggle)</t>
  </si>
  <si>
    <t xml:space="preserve">Jupyter Notebook, VS Code, Postman</t>
  </si>
  <si>
    <t xml:space="preserve">P077</t>
  </si>
  <si>
    <t xml:space="preserve">Resume Screening Tool</t>
  </si>
  <si>
    <t xml:space="preserve">A moderately complex machine-learning project that trains and evaluates models to ranking and shortlisting resumes against a job description.</t>
  </si>
  <si>
    <t xml:space="preserve">P078</t>
  </si>
  <si>
    <t xml:space="preserve">Stock Price Prediction</t>
  </si>
  <si>
    <t xml:space="preserve">A moderately complex machine-learning project that trains and evaluates models to forecasting stock trends using time-series deep learning models.</t>
  </si>
  <si>
    <t xml:space="preserve">P079</t>
  </si>
  <si>
    <t xml:space="preserve">Face Recognition Attendance System</t>
  </si>
  <si>
    <t xml:space="preserve">A moderately complex machine-learning project that trains and evaluates models to marking attendance automatically via facial recognition.</t>
  </si>
  <si>
    <t xml:space="preserve">P080</t>
  </si>
  <si>
    <t xml:space="preserve">Customer Churn Prediction</t>
  </si>
  <si>
    <t xml:space="preserve">A moderately complex machine-learning project that trains and evaluates models to predicting which customers are likely to stop using a service.</t>
  </si>
  <si>
    <t xml:space="preserve">P081</t>
  </si>
  <si>
    <t xml:space="preserve">Fake News Detection</t>
  </si>
  <si>
    <t xml:space="preserve">A moderately complex machine-learning project that trains and evaluates models to classifying news articles as real or fake using NLP models.</t>
  </si>
  <si>
    <t xml:space="preserve">P082</t>
  </si>
  <si>
    <t xml:space="preserve">NLP-based Chatbot</t>
  </si>
  <si>
    <t xml:space="preserve">A moderately complex machine-learning project that trains and evaluates models to building a chatbot that understands intent using NLP models.</t>
  </si>
  <si>
    <t xml:space="preserve">P083</t>
  </si>
  <si>
    <t xml:space="preserve">Credit Card Fraud Detection</t>
  </si>
  <si>
    <t xml:space="preserve">A moderately complex machine-learning project that trains and evaluates models to detecting anomalous, potentially fraudulent transactions.</t>
  </si>
  <si>
    <t xml:space="preserve">P084</t>
  </si>
  <si>
    <t xml:space="preserve">Image Captioning System</t>
  </si>
  <si>
    <t xml:space="preserve">A moderately complex machine-learning project that trains and evaluates models to generating natural-language captions for input images.</t>
  </si>
  <si>
    <t xml:space="preserve">P085</t>
  </si>
  <si>
    <t xml:space="preserve">PPE Detection on Edge Device</t>
  </si>
  <si>
    <t xml:space="preserve">A moderately complex on-device AI project that deploys a lightweight model to verifying whether workers are wearing safety equipment on-site in real time.</t>
  </si>
  <si>
    <t xml:space="preserve">model quantization, on-device inference, real-time video-stream processing, edge-to-cloud communication</t>
  </si>
  <si>
    <t xml:space="preserve">TensorFlow Lite, Raspberry Pi / ESP32-CAM, OpenCV, Python</t>
  </si>
  <si>
    <t xml:space="preserve">Raspberry Pi 4, Pi Camera / ESP32-CAM module, assorted sensors</t>
  </si>
  <si>
    <t xml:space="preserve">TensorFlow Lite Converter, Raspberry Pi OS, VS Code</t>
  </si>
  <si>
    <t xml:space="preserve">P086</t>
  </si>
  <si>
    <t xml:space="preserve">Smart Traffic Monitoring System</t>
  </si>
  <si>
    <t xml:space="preserve">A moderately complex on-device AI project that deploys a lightweight model to counting and classifying vehicles at an intersection in real time in real time.</t>
  </si>
  <si>
    <t xml:space="preserve">P087</t>
  </si>
  <si>
    <t xml:space="preserve">Smart Retail Shelf Monitoring</t>
  </si>
  <si>
    <t xml:space="preserve">A moderately complex on-device AI project that deploys a lightweight model to detecting shelf stock-outs from camera feeds in real time.</t>
  </si>
  <si>
    <t xml:space="preserve">P088</t>
  </si>
  <si>
    <t xml:space="preserve">Driver Drowsiness Detection</t>
  </si>
  <si>
    <t xml:space="preserve">A moderately complex on-device AI project that deploys a lightweight model to detecting driver fatigue from eye/face landmarks in real time in real time.</t>
  </si>
  <si>
    <t xml:space="preserve">P089</t>
  </si>
  <si>
    <t xml:space="preserve">TinyML Keyword Spotting on ESP32</t>
  </si>
  <si>
    <t xml:space="preserve">A moderately complex on-device AI project that deploys a lightweight model to recognizing spoken wake-words on a microcontroller in real time.</t>
  </si>
  <si>
    <t xml:space="preserve">P090</t>
  </si>
  <si>
    <t xml:space="preserve">Edge-based Attendance System</t>
  </si>
  <si>
    <t xml:space="preserve">A moderately complex on-device AI project that deploys a lightweight model to recognizing faces and logging attendance fully on-device in real time.</t>
  </si>
  <si>
    <t xml:space="preserve">P091</t>
  </si>
  <si>
    <t xml:space="preserve">Smart Doorbell with Face Recognition</t>
  </si>
  <si>
    <t xml:space="preserve">A moderately complex on-device AI project that deploys a lightweight model to identifying visitors and sending alerts from a doorbell camera in real time.</t>
  </si>
  <si>
    <t xml:space="preserve">P092</t>
  </si>
  <si>
    <t xml:space="preserve">Real-Time Crowd Counting</t>
  </si>
  <si>
    <t xml:space="preserve">A moderately complex on-device AI project that deploys a lightweight model to estimating crowd density from live video on an edge device in real time.</t>
  </si>
  <si>
    <t xml:space="preserve">P093</t>
  </si>
  <si>
    <t xml:space="preserve">LoRa-based Smart Agriculture Network</t>
  </si>
  <si>
    <t xml:space="preserve">A moderately complex communication-systems project that collecting field-sensor data over a long-range LoRa network.</t>
  </si>
  <si>
    <t xml:space="preserve">modulation techniques, spectrum analysis, long-range (LPWAN) communication protocols, network traffic analysis</t>
  </si>
  <si>
    <t xml:space="preserve">LoRa (SX1278), RTL-SDR, Python, MATLAB</t>
  </si>
  <si>
    <t xml:space="preserve">LoRa transceiver modules, RTL-SDR dongle, antennas</t>
  </si>
  <si>
    <t xml:space="preserve">GNU Radio, MATLAB, Arduino IDE</t>
  </si>
  <si>
    <t xml:space="preserve">P094</t>
  </si>
  <si>
    <t xml:space="preserve">Software Defined Radio (SDR) Receiver</t>
  </si>
  <si>
    <t xml:space="preserve">A moderately complex communication-systems project that receiving and decoding radio signals using an SDR dongle.</t>
  </si>
  <si>
    <t xml:space="preserve">P095</t>
  </si>
  <si>
    <t xml:space="preserve">LTE Network Traffic Analyzer</t>
  </si>
  <si>
    <t xml:space="preserve">A moderately complex communication-systems project that capturing and analyzing LTE network traffic patterns.</t>
  </si>
  <si>
    <t xml:space="preserve">P096</t>
  </si>
  <si>
    <t xml:space="preserve">Wireless Sensor Network Deployment</t>
  </si>
  <si>
    <t xml:space="preserve">A moderately complex communication-systems project that deploying a multi-node WSN for environmental monitoring.</t>
  </si>
  <si>
    <t xml:space="preserve">P097</t>
  </si>
  <si>
    <t xml:space="preserve">GSM-based Home Automation</t>
  </si>
  <si>
    <t xml:space="preserve">A moderately complex communication-systems project that controlling home appliances remotely via SMS commands.</t>
  </si>
  <si>
    <t xml:space="preserve">P098</t>
  </si>
  <si>
    <t xml:space="preserve">VoLTE Call Quality Analyzer</t>
  </si>
  <si>
    <t xml:space="preserve">A moderately complex communication-systems project that measuring and analyzing voice-call quality over LTE networks.</t>
  </si>
  <si>
    <t xml:space="preserve">P099</t>
  </si>
  <si>
    <t xml:space="preserve">Wi-Fi based Indoor Positioning System</t>
  </si>
  <si>
    <t xml:space="preserve">A moderately complex communication-systems project that estimating indoor device location using Wi-Fi RSSI.</t>
  </si>
  <si>
    <t xml:space="preserve">P100</t>
  </si>
  <si>
    <t xml:space="preserve">Cognitive Radio Spectrum Sensing</t>
  </si>
  <si>
    <t xml:space="preserve">A moderately complex communication-systems project that detecting unused spectrum bands for opportunistic access.</t>
  </si>
  <si>
    <t xml:space="preserve">Industry Projects  —  Engineering Project Roadmap</t>
  </si>
  <si>
    <t xml:space="preserve">P101</t>
  </si>
  <si>
    <t xml:space="preserve">Enterprise ERP with Microservices</t>
  </si>
  <si>
    <t xml:space="preserve">Major/Capstone Project</t>
  </si>
  <si>
    <t xml:space="preserve">A industry-grade, production-ready web-based application that lets users run a modular, horizontally scalable enterprise resource-planning suite through a structured, database-backed system.</t>
  </si>
  <si>
    <t xml:space="preserve">microservices architecture, horizontal scalability &amp; load balancing, CI/CD pipelines, role-based access control, distributed systems design</t>
  </si>
  <si>
    <t xml:space="preserve">React/Next.js, Node.js / Spring Boot microservices, PostgreSQL / MongoDB, Docker, Kubernetes, Redis, Kafka</t>
  </si>
  <si>
    <t xml:space="preserve">Cloud compute instances (AWS/Azure/GCP)</t>
  </si>
  <si>
    <t xml:space="preserve">Docker, Kubernetes, Jenkins/GitHub Actions (CI-CD), Postman, Git</t>
  </si>
  <si>
    <t xml:space="preserve">3-6 months</t>
  </si>
  <si>
    <t xml:space="preserve">3-5</t>
  </si>
  <si>
    <t xml:space="preserve">3rd - Final Year</t>
  </si>
  <si>
    <t xml:space="preserve">P102</t>
  </si>
  <si>
    <t xml:space="preserve">Healthcare Management Platform with RBAC &amp; Audit Logs</t>
  </si>
  <si>
    <t xml:space="preserve">A industry-grade, production-ready web-based application that lets users manage hospital operations with strict role-based access and compliance logging through a structured, database-backed system.</t>
  </si>
  <si>
    <t xml:space="preserve">P103</t>
  </si>
  <si>
    <t xml:space="preserve">Supply Chain Management System</t>
  </si>
  <si>
    <t xml:space="preserve">A industry-grade, production-ready web-based application that lets users coordinate procurement, logistics, and warehousing across a supply chain through a structured, database-backed system.</t>
  </si>
  <si>
    <t xml:space="preserve">P104</t>
  </si>
  <si>
    <t xml:space="preserve">ATS (Applicant Tracking System) with AI Screening</t>
  </si>
  <si>
    <t xml:space="preserve">A industry-grade, production-ready web-based application that lets users automate large-scale recruitment pipelines using AI-assisted screening through a structured, database-backed system.</t>
  </si>
  <si>
    <t xml:space="preserve">P105</t>
  </si>
  <si>
    <t xml:space="preserve">Multi-Tenant SaaS CRM Platform</t>
  </si>
  <si>
    <t xml:space="preserve">A industry-grade, production-ready web-based application that lets users serve multiple client organizations from a single, isolated SaaS backend through a structured, database-backed system.</t>
  </si>
  <si>
    <t xml:space="preserve">P106</t>
  </si>
  <si>
    <t xml:space="preserve">Cloud-based HRMS with Payroll Automation</t>
  </si>
  <si>
    <t xml:space="preserve">A industry-grade, production-ready web-based application that lets users run enterprise HR operations with automated, compliant payroll processing through a structured, database-backed system.</t>
  </si>
  <si>
    <t xml:space="preserve">P107</t>
  </si>
  <si>
    <t xml:space="preserve">Industrial IoT Monitoring &amp; Predictive Maintenance System</t>
  </si>
  <si>
    <t xml:space="preserve">A industry-grade, production-ready hardware-software project that uses microcontrollers and sensors to predict equipment failure from real-time industrial sensor telemetry.</t>
  </si>
  <si>
    <t xml:space="preserve">RTOS task scheduling, predictive-maintenance algorithms, industrial protocols (Modbus/SCADA), mesh networking, edge-to-cloud data pipelines</t>
  </si>
  <si>
    <t xml:space="preserve">FreeRTOS, ESP32 / STM32, MQTT / CoAP, edge-to-cloud architecture, Python/Node.js backend</t>
  </si>
  <si>
    <t xml:space="preserve">STM32/ESP32 dev boards, industrial-grade sensors, PLC/relay modules, actuators, mesh-network nodes</t>
  </si>
  <si>
    <t xml:space="preserve">STM32CubeIDE, AWS IoT Core / Azure IoT Hub, Docker, Grafana</t>
  </si>
  <si>
    <t xml:space="preserve">P108</t>
  </si>
  <si>
    <t xml:space="preserve">Autonomous Mobile Robot</t>
  </si>
  <si>
    <t xml:space="preserve">A industry-grade, production-ready hardware-software project that uses microcontrollers and sensors to navigate and map an environment autonomously using sensor fusion.</t>
  </si>
  <si>
    <t xml:space="preserve">P109</t>
  </si>
  <si>
    <t xml:space="preserve">Industrial PLC-SCADA Integrated Monitoring System</t>
  </si>
  <si>
    <t xml:space="preserve">A industry-grade, production-ready hardware-software project that uses microcontrollers and sensors to integrate PLC control with a SCADA dashboard for plant monitoring.</t>
  </si>
  <si>
    <t xml:space="preserve">P110</t>
  </si>
  <si>
    <t xml:space="preserve">Wireless Mesh Sensor Network</t>
  </si>
  <si>
    <t xml:space="preserve">A industry-grade, production-ready hardware-software project that uses microcontrollers and sensors to relay sensor data reliably across a self-healing mesh network.</t>
  </si>
  <si>
    <t xml:space="preserve">P111</t>
  </si>
  <si>
    <t xml:space="preserve">Smart Grid Monitoring System</t>
  </si>
  <si>
    <t xml:space="preserve">A industry-grade, production-ready hardware-software project that uses microcontrollers and sensors to monitor and balance power distribution across a smart grid.</t>
  </si>
  <si>
    <t xml:space="preserve">P112</t>
  </si>
  <si>
    <t xml:space="preserve">Fleet Management System with Real-time Telemetry</t>
  </si>
  <si>
    <t xml:space="preserve">A industry-grade, production-ready hardware-software project that uses microcontrollers and sensors to track and optimize a vehicle fleet using live telemetry data.</t>
  </si>
  <si>
    <t xml:space="preserve">P113</t>
  </si>
  <si>
    <t xml:space="preserve">Pipelined RISC-V Processor</t>
  </si>
  <si>
    <t xml:space="preserve">A industry-grade, production-ready digital-design project that involves implement a multi-stage pipelined RISC-V core with hazard handling using hardware description languages.</t>
  </si>
  <si>
    <t xml:space="preserve">processor microarchitecture, ASIC design flow (synthesis-to-tapeout), formal &amp; functional verification, power-performance-area optimization, SoC integration</t>
  </si>
  <si>
    <t xml:space="preserve">SystemVerilog, UVM, RISC-V ISA</t>
  </si>
  <si>
    <t xml:space="preserve">FPGA prototyping board (Zynq/Artix), ASIC design-flow toolchain</t>
  </si>
  <si>
    <t xml:space="preserve">Synopsys / Cadence toolsuite, Xilinx Vivado, QuestaSim, UVM library</t>
  </si>
  <si>
    <t xml:space="preserve">P114</t>
  </si>
  <si>
    <t xml:space="preserve">Network-on-Chip (NoC) Design</t>
  </si>
  <si>
    <t xml:space="preserve">A industry-grade, production-ready digital-design project that involves design an on-chip interconnect fabric for multi-core communication using hardware description languages.</t>
  </si>
  <si>
    <t xml:space="preserve">P115</t>
  </si>
  <si>
    <t xml:space="preserve">Multi-Core Processor Architecture</t>
  </si>
  <si>
    <t xml:space="preserve">A industry-grade, production-ready digital-design project that involves design a coherent multi-core processor with shared memory using hardware description languages.</t>
  </si>
  <si>
    <t xml:space="preserve">P116</t>
  </si>
  <si>
    <t xml:space="preserve">AI Accelerator ASIC Design</t>
  </si>
  <si>
    <t xml:space="preserve">A industry-grade, production-ready digital-design project that involves design a dedicated ASIC datapath for neural-network inference using hardware description languages.</t>
  </si>
  <si>
    <t xml:space="preserve">P117</t>
  </si>
  <si>
    <t xml:space="preserve">High-Speed SerDes Design</t>
  </si>
  <si>
    <t xml:space="preserve">A industry-grade, production-ready digital-design project that involves design a serializer-deserializer link for high-speed chip-to-chip data using hardware description languages.</t>
  </si>
  <si>
    <t xml:space="preserve">P118</t>
  </si>
  <si>
    <t xml:space="preserve">Low-Power Processor Core for IoT</t>
  </si>
  <si>
    <t xml:space="preserve">A industry-grade, production-ready digital-design project that involves design a power-optimized processor core for battery-run IoT devices using hardware description languages.</t>
  </si>
  <si>
    <t xml:space="preserve">P119</t>
  </si>
  <si>
    <t xml:space="preserve">End-to-End MLOps Pipeline</t>
  </si>
  <si>
    <t xml:space="preserve">A industry-grade, production-ready machine-learning project that trains and evaluates models to automate the full model lifecycle from training to monitored deployment.</t>
  </si>
  <si>
    <t xml:space="preserve">MLOps pipelines &amp; model monitoring, distributed/large-scale training, LLM fine-tuning &amp; RAG architectures, production-grade AI system design</t>
  </si>
  <si>
    <t xml:space="preserve">Python, PyTorch/TensorFlow, MLflow, Docker, Kubernetes, LLM APIs (OpenAI/HuggingFace), vector databases</t>
  </si>
  <si>
    <t xml:space="preserve">Cloud GPU instances (A100/T4 class)</t>
  </si>
  <si>
    <t xml:space="preserve">MLflow, Docker, Kubernetes, AWS SageMaker / Vertex AI, Git</t>
  </si>
  <si>
    <t xml:space="preserve">P120</t>
  </si>
  <si>
    <t xml:space="preserve">LLM-powered Recruitment Assistant</t>
  </si>
  <si>
    <t xml:space="preserve">A industry-grade, production-ready machine-learning project that trains and evaluates models to automate candidate screening and interaction using large language models.</t>
  </si>
  <si>
    <t xml:space="preserve">P121</t>
  </si>
  <si>
    <t xml:space="preserve">AI-powered Financial Analytics Platform</t>
  </si>
  <si>
    <t xml:space="preserve">A industry-grade, production-ready machine-learning project that trains and evaluates models to generate investment insights from real-time financial data streams.</t>
  </si>
  <si>
    <t xml:space="preserve">P122</t>
  </si>
  <si>
    <t xml:space="preserve">Real-Time Video Analytics System</t>
  </si>
  <si>
    <t xml:space="preserve">A industry-grade, production-ready machine-learning project that trains and evaluates models to extract actionable insights from live multi-camera video streams.</t>
  </si>
  <si>
    <t xml:space="preserve">P123</t>
  </si>
  <si>
    <t xml:space="preserve">Enterprise Document Intelligence Platform (RAG)</t>
  </si>
  <si>
    <t xml:space="preserve">A industry-grade, production-ready machine-learning project that trains and evaluates models to answer enterprise queries by retrieving and reasoning over internal documents.</t>
  </si>
  <si>
    <t xml:space="preserve">P124</t>
  </si>
  <si>
    <t xml:space="preserve">Multi-modal AI Customer Support Platform</t>
  </si>
  <si>
    <t xml:space="preserve">A industry-grade, production-ready machine-learning project that trains and evaluates models to handle text, voice, and image customer queries through one AI platform.</t>
  </si>
  <si>
    <t xml:space="preserve">P125</t>
  </si>
  <si>
    <t xml:space="preserve">Edge AI Smart Factory Monitoring System</t>
  </si>
  <si>
    <t xml:space="preserve">A industry-grade, production-ready on-device AI project that deploys a lightweight model to detect defects and anomalies on a production line in real time in real time.</t>
  </si>
  <si>
    <t xml:space="preserve">model optimization for edge (pruning/quantization), distributed multi-node edge inference, real-time analytics pipelines, edge-device fleet management</t>
  </si>
  <si>
    <t xml:space="preserve">TensorRT / TFLite, NVIDIA Jetson platform, Edge Impulse, Kubernetes at the edge</t>
  </si>
  <si>
    <t xml:space="preserve">NVIDIA Jetson Nano/Xavier, industrial-grade cameras, edge gateways</t>
  </si>
  <si>
    <t xml:space="preserve">NVIDIA JetPack SDK, Docker, Edge Impulse, MLflow</t>
  </si>
  <si>
    <t xml:space="preserve">P126</t>
  </si>
  <si>
    <t xml:space="preserve">Autonomous Edge AI Surveillance Platform</t>
  </si>
  <si>
    <t xml:space="preserve">A industry-grade, production-ready on-device AI project that deploys a lightweight model to detect and flag security events across a distributed camera network in real time.</t>
  </si>
  <si>
    <t xml:space="preserve">P127</t>
  </si>
  <si>
    <t xml:space="preserve">Distributed Edge AI Inference Framework</t>
  </si>
  <si>
    <t xml:space="preserve">A industry-grade, production-ready on-device AI project that deploys a lightweight model to orchestrate model inference across a fleet of edge devices in real time.</t>
  </si>
  <si>
    <t xml:space="preserve">P128</t>
  </si>
  <si>
    <t xml:space="preserve">Real-Time Multi-Camera Edge Analytics</t>
  </si>
  <si>
    <t xml:space="preserve">A industry-grade, production-ready on-device AI project that deploys a lightweight model to fuse and analyze feeds from multiple edge cameras concurrently in real time.</t>
  </si>
  <si>
    <t xml:space="preserve">P129</t>
  </si>
  <si>
    <t xml:space="preserve">Edge AI Quality Inspection System for Manufacturing</t>
  </si>
  <si>
    <t xml:space="preserve">A industry-grade, production-ready on-device AI project that deploys a lightweight model to inspect products for defects using on-device vision models in real time.</t>
  </si>
  <si>
    <t xml:space="preserve">P130</t>
  </si>
  <si>
    <t xml:space="preserve">Smart City Edge AI Traffic Management Platform</t>
  </si>
  <si>
    <t xml:space="preserve">A industry-grade, production-ready on-device AI project that deploys a lightweight model to optimize city-wide traffic signals using distributed edge inference in real time.</t>
  </si>
  <si>
    <t xml:space="preserve">P131</t>
  </si>
  <si>
    <t xml:space="preserve">Private 5G Network Testbed</t>
  </si>
  <si>
    <t xml:space="preserve">A industry-grade, production-ready communication-systems project that stand up and evaluate a private 5G network for enterprise use cases.</t>
  </si>
  <si>
    <t xml:space="preserve">5G network architecture, network slicing, large-scale RF engineering, AI-driven network optimization, Open RAN architecture</t>
  </si>
  <si>
    <t xml:space="preserve">5G NR, O-RAN, SDR, Python/C++, AI/ML for network optimization</t>
  </si>
  <si>
    <t xml:space="preserve">USRP SDR platforms, 5G testbed equipment, RF front-ends</t>
  </si>
  <si>
    <t xml:space="preserve">srsRAN / OpenAirInterface, MATLAB, Python, Kubernetes</t>
  </si>
  <si>
    <t xml:space="preserve">P132</t>
  </si>
  <si>
    <t xml:space="preserve">Open RAN (O-RAN) Implementation</t>
  </si>
  <si>
    <t xml:space="preserve">A industry-grade, production-ready communication-systems project that implement a disaggregated, open radio-access-network stack.</t>
  </si>
  <si>
    <t xml:space="preserve">P133</t>
  </si>
  <si>
    <t xml:space="preserve">5G Network Slicing Simulator</t>
  </si>
  <si>
    <t xml:space="preserve">A industry-grade, production-ready communication-systems project that simulate and evaluate isolated virtual network slices over 5G.</t>
  </si>
  <si>
    <t xml:space="preserve">P134</t>
  </si>
  <si>
    <t xml:space="preserve">Telecom Fault Prediction using AI</t>
  </si>
  <si>
    <t xml:space="preserve">A industry-grade, production-ready communication-systems project that predict network faults before they occur using AI on telemetry data.</t>
  </si>
  <si>
    <t xml:space="preserve">P135</t>
  </si>
  <si>
    <t xml:space="preserve">Network Function Virtualization (NFV) Platform</t>
  </si>
  <si>
    <t xml:space="preserve">A industry-grade, production-ready communication-systems project that virtualize traditional network functions on commodity hardware.</t>
  </si>
  <si>
    <t xml:space="preserve">P136</t>
  </si>
  <si>
    <t xml:space="preserve">AI-based RF Spectrum Monitoring System</t>
  </si>
  <si>
    <t xml:space="preserve">A industry-grade, production-ready communication-systems project that monitor and classify spectrum usage using AI-driven signal analysis.</t>
  </si>
  <si>
    <t xml:space="preserve">Faculty Projects  —  Engineering Project Roadmap</t>
  </si>
  <si>
    <t xml:space="preserve">P137</t>
  </si>
  <si>
    <t xml:space="preserve">Smart Campus Platform</t>
  </si>
  <si>
    <t xml:space="preserve">Faculty-Guided / Department Project</t>
  </si>
  <si>
    <t xml:space="preserve">A faculty-guided, department-scale web-based application that lets users unify attendance, energy, security, and academic data for an entire campus through a structured, database-backed system.</t>
  </si>
  <si>
    <t xml:space="preserve">research methodology, systems integration, literature review &amp; benchmarking, experimental design, technical documentation &amp; reporting</t>
  </si>
  <si>
    <t xml:space="preserve">Domain-specific research stack (Python/MATLAB/Simulink + domain tools), version-controlled codebase</t>
  </si>
  <si>
    <t xml:space="preserve">Lab-scale hardware/testbed appropriate to the domain (provided by department)</t>
  </si>
  <si>
    <t xml:space="preserve">MATLAB/Simulink, Python (Jupyter), LaTeX for documentation, Git, domain-specific EDA/ML tooling</t>
  </si>
  <si>
    <t xml:space="preserve">6-12 months</t>
  </si>
  <si>
    <t xml:space="preserve">4-6 (faculty-guided)</t>
  </si>
  <si>
    <t xml:space="preserve">3rd Year - PG</t>
  </si>
  <si>
    <t xml:space="preserve">P138</t>
  </si>
  <si>
    <t xml:space="preserve">Research Data Analytics System</t>
  </si>
  <si>
    <t xml:space="preserve">A faculty-guided, department-scale machine-learning project that trains and evaluates models to aggregate and analyze large-scale departmental research datasets.</t>
  </si>
  <si>
    <t xml:space="preserve">P139</t>
  </si>
  <si>
    <t xml:space="preserve">Industrial Automation Platform</t>
  </si>
  <si>
    <t xml:space="preserve">A faculty-guided, department-scale hardware-software project that uses microcontrollers and sensors to automate and monitor multi-stage industrial processes end-to-end.</t>
  </si>
  <si>
    <t xml:space="preserve">P140</t>
  </si>
  <si>
    <t xml:space="preserve">Healthcare Analytics Platform</t>
  </si>
  <si>
    <t xml:space="preserve">A faculty-guided, department-scale machine-learning project that trains and evaluates models to analyze patient-outcome data to surface actionable clinical insights.</t>
  </si>
  <si>
    <t xml:space="preserve">P141</t>
  </si>
  <si>
    <t xml:space="preserve">Smart Grid Research Platform</t>
  </si>
  <si>
    <t xml:space="preserve">A faculty-guided, department-scale hardware-software project that uses microcontrollers and sensors to study demand-response and fault behaviour on a lab-scale smart grid.</t>
  </si>
  <si>
    <t xml:space="preserve">P142</t>
  </si>
  <si>
    <t xml:space="preserve">Precision Agriculture Research Platform</t>
  </si>
  <si>
    <t xml:space="preserve">A faculty-guided, department-scale on-device AI project that deploys a lightweight model to combine edge sensing and AI to optimize crop yield and resource use in real time.</t>
  </si>
  <si>
    <t xml:space="preserve">P143</t>
  </si>
  <si>
    <t xml:space="preserve">Low-Power VLSI Design Research Lab Setup</t>
  </si>
  <si>
    <t xml:space="preserve">A faculty-guided, department-scale digital-design project that involves build a reusable lab platform for evaluating low-power circuit techniques using hardware description languages.</t>
  </si>
  <si>
    <t xml:space="preserve">P144</t>
  </si>
  <si>
    <t xml:space="preserve">5G Testbed for Rural Connectivity Research</t>
  </si>
  <si>
    <t xml:space="preserve">A faculty-guided, department-scale communication-systems project that evaluate 5G coverage and cost models for underserved rural regions.</t>
  </si>
  <si>
    <t xml:space="preserve">P145</t>
  </si>
  <si>
    <t xml:space="preserve">AI-Driven Disaster Management Platform</t>
  </si>
  <si>
    <t xml:space="preserve">A faculty-guided, department-scale machine-learning project that trains and evaluates models to coordinate disaster response using predictive AI and real-time data feeds.</t>
  </si>
  <si>
    <t xml:space="preserve">P146</t>
  </si>
  <si>
    <t xml:space="preserve">Smart Waste Management Research System</t>
  </si>
  <si>
    <t xml:space="preserve">A faculty-guided, department-scale hardware-software project that uses microcontrollers and sensors to optimize municipal waste collection routes using IoT fill-level sensors.</t>
  </si>
  <si>
    <t xml:space="preserve">P147</t>
  </si>
  <si>
    <t xml:space="preserve">Assistive Technology Platform for Differently-Abled Users</t>
  </si>
  <si>
    <t xml:space="preserve">A faculty-guided, department-scale hardware-software project that uses microcontrollers and sensors to build sensor-assisted devices that improve accessibility and independence.</t>
  </si>
  <si>
    <t xml:space="preserve">P148</t>
  </si>
  <si>
    <t xml:space="preserve">Departmental Research Repository &amp; Analytics Portal</t>
  </si>
  <si>
    <t xml:space="preserve">A faculty-guided, department-scale web-based application that lets users centralize and analyze a department's publications, grants, and outputs through a structured, database-backed system.</t>
  </si>
  <si>
    <t xml:space="preserve">P149</t>
  </si>
  <si>
    <t xml:space="preserve">FPGA-based Reconfigurable Computing Research Platform</t>
  </si>
  <si>
    <t xml:space="preserve">A faculty-guided, department-scale digital-design project that involves prototype and evaluate reconfigurable hardware accelerators on FPGA using hardware description languages.</t>
  </si>
  <si>
    <t xml:space="preserve">P150</t>
  </si>
  <si>
    <t xml:space="preserve">Federated Learning Framework for Healthcare</t>
  </si>
  <si>
    <t xml:space="preserve">A faculty-guided, department-scale machine-learning project that trains and evaluates models to train shared models across hospitals without centralizing patient data.</t>
  </si>
  <si>
    <t xml:space="preserve">P151</t>
  </si>
  <si>
    <t xml:space="preserve">Smart Water Management Research Platform</t>
  </si>
  <si>
    <t xml:space="preserve">A faculty-guided, department-scale hardware-software project that uses microcontrollers and sensors to monitor and optimize water distribution across a campus or locality.</t>
  </si>
  <si>
    <t xml:space="preserve">P152</t>
  </si>
  <si>
    <t xml:space="preserve">Edge AI Research Testbed for Wildlife Monitoring</t>
  </si>
  <si>
    <t xml:space="preserve">A faculty-guided, department-scale on-device AI project that deploys a lightweight model to detect and track wildlife species using camera-trap edge inference in real time.</t>
  </si>
  <si>
    <t xml:space="preserve">P153</t>
  </si>
  <si>
    <t xml:space="preserve">Cognitive Radio Network Research Platform</t>
  </si>
  <si>
    <t xml:space="preserve">A faculty-guided, department-scale communication-systems project that study dynamic spectrum access techniques on a reconfigurable radio testbed.</t>
  </si>
  <si>
    <t xml:space="preserve">P154</t>
  </si>
  <si>
    <t xml:space="preserve">Renewable Energy Monitoring &amp; Optimization Platform</t>
  </si>
  <si>
    <t xml:space="preserve">A faculty-guided, department-scale hardware-software project that uses microcontrollers and sensors to monitor and optimize solar/wind energy harvesting systems.</t>
  </si>
  <si>
    <t xml:space="preserve">P155</t>
  </si>
  <si>
    <t xml:space="preserve">Explainable AI Research Framework</t>
  </si>
  <si>
    <t xml:space="preserve">A faculty-guided, department-scale machine-learning project that trains and evaluates models to develop and benchmark interpretability techniques for black-box models.</t>
  </si>
  <si>
    <t xml:space="preserve">P156</t>
  </si>
  <si>
    <t xml:space="preserve">Autonomous Drone Research Platform</t>
  </si>
  <si>
    <t xml:space="preserve">A faculty-guided, department-scale hardware-software project that uses microcontrollers and sensors to build a research-grade UAV platform for navigation and payload studies.</t>
  </si>
  <si>
    <t xml:space="preserve">P157</t>
  </si>
  <si>
    <t xml:space="preserve">Quantum-Safe Cryptography Research Testbed</t>
  </si>
  <si>
    <t xml:space="preserve">A faculty-guided, department-scale communication-systems project that evaluate post-quantum cryptographic protocols over real network links.</t>
  </si>
  <si>
    <t xml:space="preserve">P158</t>
  </si>
  <si>
    <t xml:space="preserve">Digital Twin Research Platform for Smart Manufacturing</t>
  </si>
  <si>
    <t xml:space="preserve">A faculty-guided, department-scale on-device AI project that deploys a lightweight model to mirror a physical production line in a live, data-driven digital twin in real time.</t>
  </si>
  <si>
    <t xml:space="preserve">Research Internship Projects  —  Engineering Project Roadmap</t>
  </si>
  <si>
    <t xml:space="preserve">P159</t>
  </si>
  <si>
    <t xml:space="preserve">TinyML Optimization for Ultra-Low-Power Devices</t>
  </si>
  <si>
    <t xml:space="preserve">Research Internship Project</t>
  </si>
  <si>
    <t xml:space="preserve">A research-oriented, publication-track on-device AI project that deploys a lightweight model to compress and optimize neural networks to run within microwatt power budgets in real time.</t>
  </si>
  <si>
    <t xml:space="preserve">novel algorithm/architecture design, experimental evaluation &amp; benchmarking, statistical analysis of results, academic writing &amp; publication preparation</t>
  </si>
  <si>
    <t xml:space="preserve">Domain-specific research/experimentation stack (Python/MATLAB/HDL as applicable), simulation &amp; benchmarking tools</t>
  </si>
  <si>
    <t xml:space="preserve">Lab/simulation resources as required (GPU cluster, FPGA, SDR, or simulation-only, per project)</t>
  </si>
  <si>
    <t xml:space="preserve">Python/MATLAB, LaTeX, Git, domain-specific simulators (NS-3, Cadence, PyTorch, etc.)</t>
  </si>
  <si>
    <t xml:space="preserve">1-2 (with mentor)</t>
  </si>
  <si>
    <t xml:space="preserve">Final Year / PG</t>
  </si>
  <si>
    <t xml:space="preserve">P160</t>
  </si>
  <si>
    <t xml:space="preserve">RISC-V Accelerator Design for AI Workloads</t>
  </si>
  <si>
    <t xml:space="preserve">A research-oriented, publication-track digital-design project that involves design a custom RISC-V extension/accelerator tuned for neural-network inference using hardware description languages.</t>
  </si>
  <si>
    <t xml:space="preserve">P161</t>
  </si>
  <si>
    <t xml:space="preserve">Edge AI for Precision Agriculture</t>
  </si>
  <si>
    <t xml:space="preserve">A research-oriented, publication-track on-device AI project that deploys a lightweight model to develop novel edge-inference techniques for crop and soil monitoring in real time.</t>
  </si>
  <si>
    <t xml:space="preserve">P162</t>
  </si>
  <si>
    <t xml:space="preserve">Telecom Network Optimization Using Reinforcement Learning</t>
  </si>
  <si>
    <t xml:space="preserve">A research-oriented, publication-track communication-systems project that apply reinforcement learning to dynamically optimize network resource allocation.</t>
  </si>
  <si>
    <t xml:space="preserve">P163</t>
  </si>
  <si>
    <t xml:space="preserve">AI-Based Signal Processing for Radar Systems</t>
  </si>
  <si>
    <t xml:space="preserve">A research-oriented, publication-track communication-systems project that apply deep learning techniques to improve radar target detection accuracy.</t>
  </si>
  <si>
    <t xml:space="preserve">P164</t>
  </si>
  <si>
    <t xml:space="preserve">Neuromorphic Computing Architecture Design</t>
  </si>
  <si>
    <t xml:space="preserve">A research-oriented, publication-track digital-design project that involves design spiking-neural-network hardware inspired by biological computation using hardware description languages.</t>
  </si>
  <si>
    <t xml:space="preserve">P165</t>
  </si>
  <si>
    <t xml:space="preserve">Federated Learning for Privacy-Preserving Healthcare AI</t>
  </si>
  <si>
    <t xml:space="preserve">A research-oriented, publication-track machine-learning project that trains and evaluates models to develop privacy-preserving federated training methods for clinical models.</t>
  </si>
  <si>
    <t xml:space="preserve">P166</t>
  </si>
  <si>
    <t xml:space="preserve">Low-Power VLSI Design for Biomedical Implants</t>
  </si>
  <si>
    <t xml:space="preserve">A research-oriented, publication-track digital-design project that involves design ultra-low-power circuits suitable for implantable medical devices using hardware description languages.</t>
  </si>
  <si>
    <t xml:space="preserve">P167</t>
  </si>
  <si>
    <t xml:space="preserve">Explainable AI for Medical Diagnosis</t>
  </si>
  <si>
    <t xml:space="preserve">A research-oriented, publication-track machine-learning project that trains and evaluates models to develop interpretable AI models that clinicians can trust for diagnosis support.</t>
  </si>
  <si>
    <t xml:space="preserve">P168</t>
  </si>
  <si>
    <t xml:space="preserve">6G Waveform Design and Simulation</t>
  </si>
  <si>
    <t xml:space="preserve">A research-oriented, publication-track communication-systems project that design and simulate candidate waveforms for next-generation 6G networks.</t>
  </si>
  <si>
    <t xml:space="preserve">P169</t>
  </si>
  <si>
    <t xml:space="preserve">Quantum Machine Learning Algorithms</t>
  </si>
  <si>
    <t xml:space="preserve">A research-oriented, publication-track machine-learning project that trains and evaluates models to explore quantum-computing approaches to accelerate machine-learning algorithms.</t>
  </si>
  <si>
    <t xml:space="preserve">P170</t>
  </si>
  <si>
    <t xml:space="preserve">Approximate Computing for Energy-Efficient AI Accelerators</t>
  </si>
  <si>
    <t xml:space="preserve">A research-oriented, publication-track digital-design project that involves trade off numerical precision for energy savings in AI accelerator hardware using hardware description languages.</t>
  </si>
  <si>
    <t xml:space="preserve">P171</t>
  </si>
  <si>
    <t xml:space="preserve">Swarm Robotics for Disaster Response</t>
  </si>
  <si>
    <t xml:space="preserve">A research-oriented, publication-track hardware-software project that uses microcontrollers and sensors to coordinate multi-robot swarms for search-and-rescue in disaster scenarios.</t>
  </si>
  <si>
    <t xml:space="preserve">P172</t>
  </si>
  <si>
    <t xml:space="preserve">AI-Driven Spectrum Sharing for Cognitive Radio Networks</t>
  </si>
  <si>
    <t xml:space="preserve">A research-oriented, publication-track communication-systems project that develop AI policies for dynamic, fair spectrum sharing among radios.</t>
  </si>
  <si>
    <t xml:space="preserve">P173</t>
  </si>
  <si>
    <t xml:space="preserve">Graph Neural Networks for Network Traffic Prediction</t>
  </si>
  <si>
    <t xml:space="preserve">A research-oriented, publication-track machine-learning project that trains and evaluates models to apply graph neural networks to forecast traffic across communication networks.</t>
  </si>
  <si>
    <t xml:space="preserve">P174</t>
  </si>
  <si>
    <t xml:space="preserve">Energy Harvesting Circuits for Self-Powered IoT Sensors</t>
  </si>
  <si>
    <t xml:space="preserve">A research-oriented, publication-track hardware-software project that uses microcontrollers and sensors to design harvesting circuits that let IoT sensors run without batteries.</t>
  </si>
  <si>
    <t xml:space="preserve">P175</t>
  </si>
  <si>
    <t xml:space="preserve">On-Device Federated Learning for Edge AI Systems</t>
  </si>
  <si>
    <t xml:space="preserve">A research-oriented, publication-track on-device AI project that deploys a lightweight model to train shared models collaboratively across edge devices without raw-data sharing in real time.</t>
  </si>
  <si>
    <t xml:space="preserve">P176</t>
  </si>
  <si>
    <t xml:space="preserve">Hardware Trojan Detection in VLSI Circuits</t>
  </si>
  <si>
    <t xml:space="preserve">A research-oriented, publication-track digital-design project that involves develop techniques to detect malicious hardware modifications in ICs using hardware description languages.</t>
  </si>
  <si>
    <t xml:space="preserve">P177</t>
  </si>
  <si>
    <t xml:space="preserve">Satellite-based IoT Connectivity Research</t>
  </si>
  <si>
    <t xml:space="preserve">A research-oriented, publication-track communication-systems project that evaluate low-power satellite links for remote and rural IoT connectivity.</t>
  </si>
  <si>
    <t xml:space="preserve">P178</t>
  </si>
  <si>
    <t xml:space="preserve">Bio-Inspired Algorithms for Autonomous Navigation</t>
  </si>
  <si>
    <t xml:space="preserve">A research-oriented, publication-track hardware-software project that uses microcontrollers and sensors to apply bio-inspired optimization algorithms to robot path planning.</t>
  </si>
  <si>
    <t xml:space="preserve">P179</t>
  </si>
  <si>
    <t xml:space="preserve">Compressive Sensing for Efficient Wireless Communication</t>
  </si>
  <si>
    <t xml:space="preserve">A research-oriented, publication-track communication-systems project that apply compressive-sensing theory to reduce wireless sampling and bandwidth needs.</t>
  </si>
  <si>
    <t xml:space="preserve">P180</t>
  </si>
  <si>
    <t xml:space="preserve">Reinforcement Learning for Autonomous Robotic Manipulation</t>
  </si>
  <si>
    <t xml:space="preserve">A research-oriented, publication-track machine-learning project that trains and evaluates models to train RL policies that let a robotic arm learn dexterous manipulation tasks.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</si>
</sst>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22"/>
      <color rgb="FF4472C4"/>
      <name val="Arial"/>
      <family val="0"/>
      <charset val="1"/>
    </font>
    <font>
      <b val="true"/>
      <sz val="22"/>
      <color rgb="FF2E7D32"/>
      <name val="Arial"/>
      <family val="0"/>
      <charset val="1"/>
    </font>
    <font>
      <b val="true"/>
      <sz val="22"/>
      <color rgb="FFB58500"/>
      <name val="Arial"/>
      <family val="0"/>
      <charset val="1"/>
    </font>
    <font>
      <b val="true"/>
      <sz val="22"/>
      <color rgb="FFC0392B"/>
      <name val="Arial"/>
      <family val="0"/>
      <charset val="1"/>
    </font>
    <font>
      <b val="true"/>
      <sz val="22"/>
      <color rgb="FF6C3483"/>
      <name val="Arial"/>
      <family val="0"/>
      <charset val="1"/>
    </font>
    <font>
      <b val="true"/>
      <sz val="22"/>
      <color rgb="FF1F618D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2E5395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AD1457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5B3E9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351C75"/>
      <name val="Arial"/>
      <family val="0"/>
      <charset val="1"/>
    </font>
    <font>
      <b val="true"/>
      <sz val="10"/>
      <color rgb="FF1155CC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4472C4"/>
        <bgColor rgb="FF4F81BD"/>
      </patternFill>
    </fill>
    <fill>
      <patternFill patternType="solid">
        <fgColor rgb="FF2E7D32"/>
        <bgColor rgb="FF375623"/>
      </patternFill>
    </fill>
    <fill>
      <patternFill patternType="solid">
        <fgColor rgb="FFB58500"/>
        <bgColor rgb="FFBF8F00"/>
      </patternFill>
    </fill>
    <fill>
      <patternFill patternType="solid">
        <fgColor rgb="FFC0392B"/>
        <bgColor rgb="FFAB4744"/>
      </patternFill>
    </fill>
    <fill>
      <patternFill patternType="solid">
        <fgColor rgb="FF6C3483"/>
        <bgColor rgb="FF5B3E96"/>
      </patternFill>
    </fill>
    <fill>
      <patternFill patternType="solid">
        <fgColor rgb="FF1F618D"/>
        <bgColor rgb="FF2E5395"/>
      </patternFill>
    </fill>
    <fill>
      <patternFill patternType="solid">
        <fgColor rgb="FFF2F5FB"/>
        <bgColor rgb="FFF9F9F9"/>
      </patternFill>
    </fill>
    <fill>
      <patternFill patternType="solid">
        <fgColor rgb="FF2E5395"/>
        <bgColor rgb="FF1F618D"/>
      </patternFill>
    </fill>
    <fill>
      <patternFill patternType="solid">
        <fgColor rgb="FFFFFFFF"/>
        <bgColor rgb="FFF9F9F9"/>
      </patternFill>
    </fill>
    <fill>
      <patternFill patternType="solid">
        <fgColor rgb="FFFDE9D9"/>
        <bgColor rgb="FFFCE4EC"/>
      </patternFill>
    </fill>
    <fill>
      <patternFill patternType="solid">
        <fgColor rgb="FFC6EFCE"/>
        <bgColor rgb="FFE2EFDA"/>
      </patternFill>
    </fill>
    <fill>
      <patternFill patternType="solid">
        <fgColor rgb="FFEAF0F9"/>
        <bgColor rgb="FFF2F5FB"/>
      </patternFill>
    </fill>
    <fill>
      <patternFill patternType="solid">
        <fgColor rgb="FFDDEBF7"/>
        <bgColor rgb="FFEAF0F9"/>
      </patternFill>
    </fill>
    <fill>
      <patternFill patternType="solid">
        <fgColor rgb="FFE2EFDA"/>
        <bgColor rgb="FFDDEBF7"/>
      </patternFill>
    </fill>
    <fill>
      <patternFill patternType="solid">
        <fgColor rgb="FFFCE4EC"/>
        <bgColor rgb="FFFDE9D9"/>
      </patternFill>
    </fill>
    <fill>
      <patternFill patternType="solid">
        <fgColor rgb="FFFFF2CC"/>
        <bgColor rgb="FFFDE9D9"/>
      </patternFill>
    </fill>
    <fill>
      <patternFill patternType="solid">
        <fgColor rgb="FFE4DFEC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E0BDBC"/>
      </patternFill>
    </fill>
    <fill>
      <patternFill patternType="solid">
        <fgColor rgb="FFD9D2E9"/>
        <bgColor rgb="FFD9D9D9"/>
      </patternFill>
    </fill>
    <fill>
      <patternFill patternType="solid">
        <fgColor rgb="FFCFE2F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2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0" fillId="2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1" fillId="2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2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0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E5395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B3E96"/>
          <bgColor rgb="FF000000"/>
        </patternFill>
      </fill>
    </dxf>
    <dxf>
      <fill>
        <patternFill patternType="solid">
          <fgColor rgb="FFAD1457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351C75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C0504D"/>
      <rgbColor rgb="FF00FF00"/>
      <rgbColor rgb="FF0000FF"/>
      <rgbColor rgb="FFFDE9D9"/>
      <rgbColor rgb="FFFF00FF"/>
      <rgbColor rgb="FFF2F5FB"/>
      <rgbColor rgb="FF9C0006"/>
      <rgbColor rgb="FF006100"/>
      <rgbColor rgb="FF000080"/>
      <rgbColor rgb="FF9C6500"/>
      <rgbColor rgb="FFAD1457"/>
      <rgbColor rgb="FF1F618D"/>
      <rgbColor rgb="FFB7C6E0"/>
      <rgbColor rgb="FF878787"/>
      <rgbColor rgb="FFE4DFEC"/>
      <rgbColor rgb="FF923C3A"/>
      <rgbColor rgb="FFFFF2CC"/>
      <rgbColor rgb="FFDDEBF7"/>
      <rgbColor rgb="FF6C3483"/>
      <rgbColor rgb="FFD09493"/>
      <rgbColor rgb="FF1155CC"/>
      <rgbColor rgb="FFD9D2E9"/>
      <rgbColor rgb="FF000080"/>
      <rgbColor rgb="FFFF00FF"/>
      <rgbColor rgb="FFE2EFDA"/>
      <rgbColor rgb="FFF9F9F9"/>
      <rgbColor rgb="FF5B3E96"/>
      <rgbColor rgb="FFB58500"/>
      <rgbColor rgb="FF2E5395"/>
      <rgbColor rgb="FF0000FF"/>
      <rgbColor rgb="FFFCE4EC"/>
      <rgbColor rgb="FFEAF0F9"/>
      <rgbColor rgb="FFC6EFCE"/>
      <rgbColor rgb="FFFFEB9C"/>
      <rgbColor rgb="FFCFE2F3"/>
      <rgbColor rgb="FFE0BDBC"/>
      <rgbColor rgb="FFD9D9D9"/>
      <rgbColor rgb="FFFFC7CE"/>
      <rgbColor rgb="FF4472C4"/>
      <rgbColor rgb="FF4BACC6"/>
      <rgbColor rgb="FF9BBB59"/>
      <rgbColor rgb="FFBF8F00"/>
      <rgbColor rgb="FFF79646"/>
      <rgbColor rgb="FFC55A11"/>
      <rgbColor rgb="FF8064A2"/>
      <rgbColor rgb="FF4F81BD"/>
      <rgbColor rgb="FF1F3864"/>
      <rgbColor rgb="FF2E7D32"/>
      <rgbColor rgb="FF375623"/>
      <rgbColor rgb="FF444444"/>
      <rgbColor rgb="FFC0392B"/>
      <rgbColor rgb="FFAB4744"/>
      <rgbColor rgb="FF351C7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Difficulty-Level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Dashboard!G15</c:f>
              <c:strCache>
                <c:ptCount val="1"/>
                <c:pt idx="0">
                  <c:v>Project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Dashboard!$F$16:$F$20</c:f>
              <c:strCache>
                <c:ptCount val="5"/>
                <c:pt idx="0">
                  <c:v>Easy</c:v>
                </c:pt>
                <c:pt idx="1">
                  <c:v>Intermediate</c:v>
                </c:pt>
                <c:pt idx="2">
                  <c:v>Industry</c:v>
                </c:pt>
                <c:pt idx="3">
                  <c:v>Faculty</c:v>
                </c:pt>
                <c:pt idx="4">
                  <c:v>Research</c:v>
                </c:pt>
              </c:strCache>
            </c:strRef>
          </c:cat>
          <c:val>
            <c:numRef>
              <c:f>Dashboard!$G$16:$G$20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36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Domain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Dashboard!J15</c:f>
              <c:strCache>
                <c:ptCount val="1"/>
                <c:pt idx="0">
                  <c:v>Project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Dashboard!$I$16:$I$21</c:f>
              <c:strCache>
                <c:ptCount val="6"/>
                <c:pt idx="0">
                  <c:v>Management Systems</c:v>
                </c:pt>
                <c:pt idx="1">
                  <c:v>Embedded Systems</c:v>
                </c:pt>
                <c:pt idx="2">
                  <c:v>VLSI</c:v>
                </c:pt>
                <c:pt idx="3">
                  <c:v>AI/ML</c:v>
                </c:pt>
                <c:pt idx="4">
                  <c:v>Edge AI</c:v>
                </c:pt>
                <c:pt idx="5">
                  <c:v>Telecommunications</c:v>
                </c:pt>
              </c:strCache>
            </c:strRef>
          </c:cat>
          <c:val>
            <c:numRef>
              <c:f>Dashboard!$J$16:$J$21</c:f>
              <c:numCache>
                <c:formatCode>General</c:formatCode>
                <c:ptCount val="6"/>
                <c:pt idx="0">
                  <c:v>24</c:v>
                </c:pt>
                <c:pt idx="1">
                  <c:v>34</c:v>
                </c:pt>
                <c:pt idx="2">
                  <c:v>29</c:v>
                </c:pt>
                <c:pt idx="3">
                  <c:v>34</c:v>
                </c:pt>
                <c:pt idx="4">
                  <c:v>28</c:v>
                </c:pt>
                <c:pt idx="5">
                  <c:v>31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Projects per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Dashboard!J15</c:f>
              <c:strCache>
                <c:ptCount val="1"/>
                <c:pt idx="0">
                  <c:v>Project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Dashboard!$I$16:$I$21</c:f>
              <c:strCache>
                <c:ptCount val="6"/>
                <c:pt idx="0">
                  <c:v>Management Systems</c:v>
                </c:pt>
                <c:pt idx="1">
                  <c:v>Embedded Systems</c:v>
                </c:pt>
                <c:pt idx="2">
                  <c:v>VLSI</c:v>
                </c:pt>
                <c:pt idx="3">
                  <c:v>AI/ML</c:v>
                </c:pt>
                <c:pt idx="4">
                  <c:v>Edge AI</c:v>
                </c:pt>
                <c:pt idx="5">
                  <c:v>Telecommunications</c:v>
                </c:pt>
              </c:strCache>
            </c:strRef>
          </c:cat>
          <c:val>
            <c:numRef>
              <c:f>Dashboard!$J$16:$J$21</c:f>
              <c:numCache>
                <c:formatCode>General</c:formatCode>
                <c:ptCount val="6"/>
                <c:pt idx="0">
                  <c:v>24</c:v>
                </c:pt>
                <c:pt idx="1">
                  <c:v>34</c:v>
                </c:pt>
                <c:pt idx="2">
                  <c:v>29</c:v>
                </c:pt>
                <c:pt idx="3">
                  <c:v>34</c:v>
                </c:pt>
                <c:pt idx="4">
                  <c:v>28</c:v>
                </c:pt>
                <c:pt idx="5">
                  <c:v>31</c:v>
                </c:pt>
              </c:numCache>
            </c:numRef>
          </c:val>
        </c:ser>
        <c:gapWidth val="150"/>
        <c:overlap val="0"/>
        <c:axId val="76191833"/>
        <c:axId val="80285914"/>
      </c:barChart>
      <c:catAx>
        <c:axId val="76191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85914"/>
        <c:crosses val="autoZero"/>
        <c:auto val="1"/>
        <c:lblAlgn val="ctr"/>
        <c:lblOffset val="100"/>
        <c:noMultiLvlLbl val="0"/>
      </c:catAx>
      <c:valAx>
        <c:axId val="80285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Projects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918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Difficulty Mix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Dashboard!B25</c:f>
              <c:strCache>
                <c:ptCount val="1"/>
                <c:pt idx="0">
                  <c:v>Easy</c:v>
                </c:pt>
              </c:strCache>
            </c:strRef>
          </c:tx>
          <c:spPr>
            <a:solidFill>
              <a:srgbClr val="923c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Dashboard!$A$26:$A$31</c:f>
              <c:strCache>
                <c:ptCount val="6"/>
                <c:pt idx="0">
                  <c:v>Management Systems</c:v>
                </c:pt>
                <c:pt idx="1">
                  <c:v>Embedded Systems</c:v>
                </c:pt>
                <c:pt idx="2">
                  <c:v>VLSI</c:v>
                </c:pt>
                <c:pt idx="3">
                  <c:v>AI/ML</c:v>
                </c:pt>
                <c:pt idx="4">
                  <c:v>Edge AI</c:v>
                </c:pt>
                <c:pt idx="5">
                  <c:v>Telecommunications</c:v>
                </c:pt>
              </c:strCache>
            </c:strRef>
          </c:cat>
          <c:val>
            <c:numRef>
              <c:f>Dashboard!$B$26:$B$31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</c:ser>
        <c:ser>
          <c:idx val="1"/>
          <c:order val="1"/>
          <c:tx>
            <c:strRef>
              <c:f>Dashboard!C25</c:f>
              <c:strCache>
                <c:ptCount val="1"/>
                <c:pt idx="0">
                  <c:v>Intermediate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Dashboard!$A$26:$A$31</c:f>
              <c:strCache>
                <c:ptCount val="6"/>
                <c:pt idx="0">
                  <c:v>Management Systems</c:v>
                </c:pt>
                <c:pt idx="1">
                  <c:v>Embedded Systems</c:v>
                </c:pt>
                <c:pt idx="2">
                  <c:v>VLSI</c:v>
                </c:pt>
                <c:pt idx="3">
                  <c:v>AI/ML</c:v>
                </c:pt>
                <c:pt idx="4">
                  <c:v>Edge AI</c:v>
                </c:pt>
                <c:pt idx="5">
                  <c:v>Telecommunications</c:v>
                </c:pt>
              </c:strCache>
            </c:strRef>
          </c:cat>
          <c:val>
            <c:numRef>
              <c:f>Dashboard!$C$26:$C$31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</c:ser>
        <c:ser>
          <c:idx val="2"/>
          <c:order val="2"/>
          <c:tx>
            <c:strRef>
              <c:f>Dashboard!D25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Dashboard!$A$26:$A$31</c:f>
              <c:strCache>
                <c:ptCount val="6"/>
                <c:pt idx="0">
                  <c:v>Management Systems</c:v>
                </c:pt>
                <c:pt idx="1">
                  <c:v>Embedded Systems</c:v>
                </c:pt>
                <c:pt idx="2">
                  <c:v>VLSI</c:v>
                </c:pt>
                <c:pt idx="3">
                  <c:v>AI/ML</c:v>
                </c:pt>
                <c:pt idx="4">
                  <c:v>Edge AI</c:v>
                </c:pt>
                <c:pt idx="5">
                  <c:v>Telecommunications</c:v>
                </c:pt>
              </c:strCache>
            </c:strRef>
          </c:cat>
          <c:val>
            <c:numRef>
              <c:f>Dashboard!$D$26:$D$31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</c:ser>
        <c:ser>
          <c:idx val="3"/>
          <c:order val="3"/>
          <c:tx>
            <c:strRef>
              <c:f>Dashboard!E25</c:f>
              <c:strCache>
                <c:ptCount val="1"/>
                <c:pt idx="0">
                  <c:v>Faculty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Dashboard!$A$26:$A$31</c:f>
              <c:strCache>
                <c:ptCount val="6"/>
                <c:pt idx="0">
                  <c:v>Management Systems</c:v>
                </c:pt>
                <c:pt idx="1">
                  <c:v>Embedded Systems</c:v>
                </c:pt>
                <c:pt idx="2">
                  <c:v>VLSI</c:v>
                </c:pt>
                <c:pt idx="3">
                  <c:v>AI/ML</c:v>
                </c:pt>
                <c:pt idx="4">
                  <c:v>Edge AI</c:v>
                </c:pt>
                <c:pt idx="5">
                  <c:v>Telecommunications</c:v>
                </c:pt>
              </c:strCache>
            </c:strRef>
          </c:cat>
          <c:val>
            <c:numRef>
              <c:f>Dashboard!$E$26:$E$31</c:f>
              <c:numCache>
                <c:formatCode>General</c:formatCode>
                <c:ptCount val="6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ser>
          <c:idx val="4"/>
          <c:order val="4"/>
          <c:tx>
            <c:strRef>
              <c:f>Dashboard!F25</c:f>
              <c:strCache>
                <c:ptCount val="1"/>
                <c:pt idx="0">
                  <c:v>Research</c:v>
                </c:pt>
              </c:strCache>
            </c:strRef>
          </c:tx>
          <c:spPr>
            <a:solidFill>
              <a:srgbClr val="e0bdb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Dashboard!$A$26:$A$31</c:f>
              <c:strCache>
                <c:ptCount val="6"/>
                <c:pt idx="0">
                  <c:v>Management Systems</c:v>
                </c:pt>
                <c:pt idx="1">
                  <c:v>Embedded Systems</c:v>
                </c:pt>
                <c:pt idx="2">
                  <c:v>VLSI</c:v>
                </c:pt>
                <c:pt idx="3">
                  <c:v>AI/ML</c:v>
                </c:pt>
                <c:pt idx="4">
                  <c:v>Edge AI</c:v>
                </c:pt>
                <c:pt idx="5">
                  <c:v>Telecommunications</c:v>
                </c:pt>
              </c:strCache>
            </c:strRef>
          </c:cat>
          <c:val>
            <c:numRef>
              <c:f>Dashboard!$F$26:$F$31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</c:numCache>
            </c:numRef>
          </c:val>
        </c:ser>
        <c:gapWidth val="150"/>
        <c:overlap val="100"/>
        <c:axId val="59787951"/>
        <c:axId val="2105501"/>
      </c:barChart>
      <c:catAx>
        <c:axId val="5978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5501"/>
        <c:crosses val="autoZero"/>
        <c:auto val="1"/>
        <c:lblAlgn val="ctr"/>
        <c:lblOffset val="100"/>
        <c:noMultiLvlLbl val="0"/>
      </c:catAx>
      <c:valAx>
        <c:axId val="2105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Projects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87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32</xdr:row>
      <xdr:rowOff>0</xdr:rowOff>
    </xdr:from>
    <xdr:to>
      <xdr:col>9</xdr:col>
      <xdr:colOff>763200</xdr:colOff>
      <xdr:row>48</xdr:row>
      <xdr:rowOff>11520</xdr:rowOff>
    </xdr:to>
    <xdr:graphicFrame>
      <xdr:nvGraphicFramePr>
        <xdr:cNvPr id="0" name="Chart 1"/>
        <xdr:cNvGraphicFramePr/>
      </xdr:nvGraphicFramePr>
      <xdr:xfrm>
        <a:off x="5920920" y="63054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32</xdr:row>
      <xdr:rowOff>0</xdr:rowOff>
    </xdr:from>
    <xdr:to>
      <xdr:col>21</xdr:col>
      <xdr:colOff>147600</xdr:colOff>
      <xdr:row>48</xdr:row>
      <xdr:rowOff>11520</xdr:rowOff>
    </xdr:to>
    <xdr:graphicFrame>
      <xdr:nvGraphicFramePr>
        <xdr:cNvPr id="1" name="Chart 2"/>
        <xdr:cNvGraphicFramePr/>
      </xdr:nvGraphicFramePr>
      <xdr:xfrm>
        <a:off x="13018680" y="630540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49</xdr:row>
      <xdr:rowOff>0</xdr:rowOff>
    </xdr:from>
    <xdr:to>
      <xdr:col>9</xdr:col>
      <xdr:colOff>763200</xdr:colOff>
      <xdr:row>65</xdr:row>
      <xdr:rowOff>11520</xdr:rowOff>
    </xdr:to>
    <xdr:graphicFrame>
      <xdr:nvGraphicFramePr>
        <xdr:cNvPr id="2" name="Chart 3"/>
        <xdr:cNvGraphicFramePr/>
      </xdr:nvGraphicFramePr>
      <xdr:xfrm>
        <a:off x="5920920" y="954396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49</xdr:row>
      <xdr:rowOff>0</xdr:rowOff>
    </xdr:from>
    <xdr:to>
      <xdr:col>21</xdr:col>
      <xdr:colOff>147600</xdr:colOff>
      <xdr:row>65</xdr:row>
      <xdr:rowOff>11520</xdr:rowOff>
    </xdr:to>
    <xdr:graphicFrame>
      <xdr:nvGraphicFramePr>
        <xdr:cNvPr id="3" name="Chart 4"/>
        <xdr:cNvGraphicFramePr/>
      </xdr:nvGraphicFramePr>
      <xdr:xfrm>
        <a:off x="13018680" y="954396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EasyProjects" displayName="Tbl_EasyProjects" ref="A2:R52" headerRowCount="1" totalsRowCount="0" totalsRowShown="0">
  <autoFilter ref="A2:R52"/>
  <tableColumns count="18">
    <tableColumn id="1" name="Project ID"/>
    <tableColumn id="2" name="Domain"/>
    <tableColumn id="3" name="Project Name"/>
    <tableColumn id="4" name="Difficulty Level"/>
    <tableColumn id="5" name="Project Type"/>
    <tableColumn id="6" name="Brief Description"/>
    <tableColumn id="7" name="Key Concepts Learned"/>
    <tableColumn id="8" name="Technologies Used"/>
    <tableColumn id="9" name="Hardware Required"/>
    <tableColumn id="10" name="Software Required"/>
    <tableColumn id="11" name="Estimated Duration"/>
    <tableColumn id="12" name="Team Size"/>
    <tableColumn id="13" name="Resume Impact"/>
    <tableColumn id="14" name="Placement Relevance"/>
    <tableColumn id="15" name="Research Potential"/>
    <tableColumn id="16" name="Startup Potential"/>
    <tableColumn id="17" name="Suitable Year"/>
    <tableColumn id="18" name="Difficulty Score (1-10)"/>
  </tableColumns>
</table>
</file>

<file path=xl/tables/table2.xml><?xml version="1.0" encoding="utf-8"?>
<table xmlns="http://schemas.openxmlformats.org/spreadsheetml/2006/main" id="2" name="Tbl_FacultyProjects" displayName="Tbl_FacultyProjects" ref="A2:R24" headerRowCount="1" totalsRowCount="0" totalsRowShown="0">
  <autoFilter ref="A2:R24"/>
  <tableColumns count="18">
    <tableColumn id="1" name="Project ID"/>
    <tableColumn id="2" name="Domain"/>
    <tableColumn id="3" name="Project Name"/>
    <tableColumn id="4" name="Difficulty Level"/>
    <tableColumn id="5" name="Project Type"/>
    <tableColumn id="6" name="Brief Description"/>
    <tableColumn id="7" name="Key Concepts Learned"/>
    <tableColumn id="8" name="Technologies Used"/>
    <tableColumn id="9" name="Hardware Required"/>
    <tableColumn id="10" name="Software Required"/>
    <tableColumn id="11" name="Estimated Duration"/>
    <tableColumn id="12" name="Team Size"/>
    <tableColumn id="13" name="Resume Impact"/>
    <tableColumn id="14" name="Placement Relevance"/>
    <tableColumn id="15" name="Research Potential"/>
    <tableColumn id="16" name="Startup Potential"/>
    <tableColumn id="17" name="Suitable Year"/>
    <tableColumn id="18" name="Difficulty Score (1-10)"/>
  </tableColumns>
</table>
</file>

<file path=xl/tables/table3.xml><?xml version="1.0" encoding="utf-8"?>
<table xmlns="http://schemas.openxmlformats.org/spreadsheetml/2006/main" id="3" name="Tbl_IndustryProjects" displayName="Tbl_IndustryProjects" ref="A2:R38" headerRowCount="1" totalsRowCount="0" totalsRowShown="0">
  <autoFilter ref="A2:R38"/>
  <tableColumns count="18">
    <tableColumn id="1" name="Project ID"/>
    <tableColumn id="2" name="Domain"/>
    <tableColumn id="3" name="Project Name"/>
    <tableColumn id="4" name="Difficulty Level"/>
    <tableColumn id="5" name="Project Type"/>
    <tableColumn id="6" name="Brief Description"/>
    <tableColumn id="7" name="Key Concepts Learned"/>
    <tableColumn id="8" name="Technologies Used"/>
    <tableColumn id="9" name="Hardware Required"/>
    <tableColumn id="10" name="Software Required"/>
    <tableColumn id="11" name="Estimated Duration"/>
    <tableColumn id="12" name="Team Size"/>
    <tableColumn id="13" name="Resume Impact"/>
    <tableColumn id="14" name="Placement Relevance"/>
    <tableColumn id="15" name="Research Potential"/>
    <tableColumn id="16" name="Startup Potential"/>
    <tableColumn id="17" name="Suitable Year"/>
    <tableColumn id="18" name="Difficulty Score (1-10)"/>
  </tableColumns>
</table>
</file>

<file path=xl/tables/table4.xml><?xml version="1.0" encoding="utf-8"?>
<table xmlns="http://schemas.openxmlformats.org/spreadsheetml/2006/main" id="4" name="Tbl_IntermediateProjects" displayName="Tbl_IntermediateProjects" ref="A2:R52" headerRowCount="1" totalsRowCount="0" totalsRowShown="0">
  <autoFilter ref="A2:R52"/>
  <tableColumns count="18">
    <tableColumn id="1" name="Project ID"/>
    <tableColumn id="2" name="Domain"/>
    <tableColumn id="3" name="Project Name"/>
    <tableColumn id="4" name="Difficulty Level"/>
    <tableColumn id="5" name="Project Type"/>
    <tableColumn id="6" name="Brief Description"/>
    <tableColumn id="7" name="Key Concepts Learned"/>
    <tableColumn id="8" name="Technologies Used"/>
    <tableColumn id="9" name="Hardware Required"/>
    <tableColumn id="10" name="Software Required"/>
    <tableColumn id="11" name="Estimated Duration"/>
    <tableColumn id="12" name="Team Size"/>
    <tableColumn id="13" name="Resume Impact"/>
    <tableColumn id="14" name="Placement Relevance"/>
    <tableColumn id="15" name="Research Potential"/>
    <tableColumn id="16" name="Startup Potential"/>
    <tableColumn id="17" name="Suitable Year"/>
    <tableColumn id="18" name="Difficulty Score (1-10)"/>
  </tableColumns>
</table>
</file>

<file path=xl/tables/table5.xml><?xml version="1.0" encoding="utf-8"?>
<table xmlns="http://schemas.openxmlformats.org/spreadsheetml/2006/main" id="5" name="Tbl_ResearchInternshipProjects" displayName="Tbl_ResearchInternshipProjects" ref="A2:R24" headerRowCount="1" totalsRowCount="0" totalsRowShown="0">
  <autoFilter ref="A2:R24"/>
  <tableColumns count="18">
    <tableColumn id="1" name="Project ID"/>
    <tableColumn id="2" name="Domain"/>
    <tableColumn id="3" name="Project Name"/>
    <tableColumn id="4" name="Difficulty Level"/>
    <tableColumn id="5" name="Project Type"/>
    <tableColumn id="6" name="Brief Description"/>
    <tableColumn id="7" name="Key Concepts Learned"/>
    <tableColumn id="8" name="Technologies Used"/>
    <tableColumn id="9" name="Hardware Required"/>
    <tableColumn id="10" name="Software Required"/>
    <tableColumn id="11" name="Estimated Duration"/>
    <tableColumn id="12" name="Team Size"/>
    <tableColumn id="13" name="Resume Impact"/>
    <tableColumn id="14" name="Placement Relevance"/>
    <tableColumn id="15" name="Research Potential"/>
    <tableColumn id="16" name="Startup Potential"/>
    <tableColumn id="17" name="Suitable Year"/>
    <tableColumn id="18" name="Difficulty Score (1-10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  <col collapsed="false" customWidth="true" hidden="false" outlineLevel="0" max="7" min="7" style="0" width="14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4" hidden="false" customHeight="true" outlineLevel="0" collapsed="false">
      <c r="A5" s="3" t="s">
        <v>2</v>
      </c>
      <c r="B5" s="3"/>
      <c r="C5" s="4" t="s">
        <v>3</v>
      </c>
      <c r="D5" s="4"/>
      <c r="E5" s="5" t="s">
        <v>4</v>
      </c>
      <c r="F5" s="5"/>
      <c r="G5" s="6" t="s">
        <v>5</v>
      </c>
      <c r="H5" s="6"/>
      <c r="I5" s="7" t="s">
        <v>6</v>
      </c>
      <c r="J5" s="7"/>
      <c r="K5" s="8" t="s">
        <v>7</v>
      </c>
      <c r="L5" s="8"/>
    </row>
    <row r="6" customFormat="false" ht="12" hidden="false" customHeight="true" outlineLevel="0" collapsed="false">
      <c r="A6" s="9" t="n">
        <f aca="false">SUM(G16:G20)</f>
        <v>180</v>
      </c>
      <c r="B6" s="9"/>
      <c r="C6" s="10" t="n">
        <f aca="false">COUNTA('Easy Projects'!$A$3:$A$1000)</f>
        <v>50</v>
      </c>
      <c r="D6" s="10"/>
      <c r="E6" s="11" t="n">
        <f aca="false">COUNTA('Intermediate Projects'!$A$3:$A$1000)</f>
        <v>50</v>
      </c>
      <c r="F6" s="11"/>
      <c r="G6" s="12" t="n">
        <f aca="false">COUNTA('Industry Projects'!$A$3:$A$1000)</f>
        <v>36</v>
      </c>
      <c r="H6" s="12"/>
      <c r="I6" s="13" t="n">
        <f aca="false">COUNTA('Faculty Projects'!$A$3:$A$1000)</f>
        <v>22</v>
      </c>
      <c r="J6" s="13"/>
      <c r="K6" s="14" t="n">
        <f aca="false">COUNTA('Research Internship Projects'!$A$3:$A$1000)</f>
        <v>22</v>
      </c>
      <c r="L6" s="14"/>
    </row>
    <row r="7" customFormat="false" ht="12" hidden="false" customHeight="true" outlineLevel="0" collapsed="false">
      <c r="A7" s="9"/>
      <c r="B7" s="9"/>
      <c r="C7" s="10"/>
      <c r="D7" s="10"/>
      <c r="E7" s="11"/>
      <c r="F7" s="11"/>
      <c r="G7" s="12"/>
      <c r="H7" s="12"/>
      <c r="I7" s="13"/>
      <c r="J7" s="13"/>
      <c r="K7" s="14"/>
      <c r="L7" s="14"/>
    </row>
    <row r="8" customFormat="false" ht="12" hidden="false" customHeight="true" outlineLevel="0" collapsed="false">
      <c r="A8" s="9"/>
      <c r="B8" s="9"/>
      <c r="C8" s="10"/>
      <c r="D8" s="10"/>
      <c r="E8" s="11"/>
      <c r="F8" s="11"/>
      <c r="G8" s="12"/>
      <c r="H8" s="12"/>
      <c r="I8" s="13"/>
      <c r="J8" s="13"/>
      <c r="K8" s="14"/>
      <c r="L8" s="14"/>
    </row>
    <row r="14" customFormat="false" ht="15" hidden="false" customHeight="false" outlineLevel="0" collapsed="false">
      <c r="F14" s="15" t="s">
        <v>8</v>
      </c>
      <c r="G14" s="15"/>
      <c r="I14" s="15" t="s">
        <v>9</v>
      </c>
      <c r="J14" s="15"/>
    </row>
    <row r="15" customFormat="false" ht="15" hidden="false" customHeight="false" outlineLevel="0" collapsed="false">
      <c r="F15" s="16" t="s">
        <v>10</v>
      </c>
      <c r="G15" s="16" t="s">
        <v>11</v>
      </c>
      <c r="I15" s="16" t="s">
        <v>12</v>
      </c>
      <c r="J15" s="16" t="s">
        <v>11</v>
      </c>
    </row>
    <row r="16" customFormat="false" ht="15" hidden="false" customHeight="false" outlineLevel="0" collapsed="false">
      <c r="F16" s="17" t="s">
        <v>13</v>
      </c>
      <c r="G16" s="18" t="n">
        <f aca="false">COUNTA('Easy Projects'!$A$3:$A$1000)</f>
        <v>50</v>
      </c>
      <c r="I16" s="17" t="s">
        <v>14</v>
      </c>
      <c r="J16" s="18" t="n">
        <f aca="false">COUNTIF('Easy Projects'!$B:$B,$I16)+COUNTIF('Intermediate Projects'!$B:$B,$I16)+COUNTIF('Industry Projects'!$B:$B,$I16)+COUNTIF('Faculty Projects'!$B:$B,$I16)+COUNTIF('Research Internship Projects'!$B:$B,$I16)</f>
        <v>24</v>
      </c>
    </row>
    <row r="17" customFormat="false" ht="15" hidden="false" customHeight="false" outlineLevel="0" collapsed="false">
      <c r="F17" s="17" t="s">
        <v>15</v>
      </c>
      <c r="G17" s="18" t="n">
        <f aca="false">COUNTA('Intermediate Projects'!$A$3:$A$1000)</f>
        <v>50</v>
      </c>
      <c r="I17" s="17" t="s">
        <v>16</v>
      </c>
      <c r="J17" s="18" t="n">
        <f aca="false">COUNTIF('Easy Projects'!$B:$B,$I17)+COUNTIF('Intermediate Projects'!$B:$B,$I17)+COUNTIF('Industry Projects'!$B:$B,$I17)+COUNTIF('Faculty Projects'!$B:$B,$I17)+COUNTIF('Research Internship Projects'!$B:$B,$I17)</f>
        <v>34</v>
      </c>
    </row>
    <row r="18" customFormat="false" ht="15" hidden="false" customHeight="false" outlineLevel="0" collapsed="false">
      <c r="F18" s="17" t="s">
        <v>17</v>
      </c>
      <c r="G18" s="18" t="n">
        <f aca="false">COUNTA('Industry Projects'!$A$3:$A$1000)</f>
        <v>36</v>
      </c>
      <c r="I18" s="17" t="s">
        <v>18</v>
      </c>
      <c r="J18" s="18" t="n">
        <f aca="false">COUNTIF('Easy Projects'!$B:$B,$I18)+COUNTIF('Intermediate Projects'!$B:$B,$I18)+COUNTIF('Industry Projects'!$B:$B,$I18)+COUNTIF('Faculty Projects'!$B:$B,$I18)+COUNTIF('Research Internship Projects'!$B:$B,$I18)</f>
        <v>29</v>
      </c>
    </row>
    <row r="19" customFormat="false" ht="15" hidden="false" customHeight="false" outlineLevel="0" collapsed="false">
      <c r="F19" s="17" t="s">
        <v>19</v>
      </c>
      <c r="G19" s="18" t="n">
        <f aca="false">COUNTA('Faculty Projects'!$A$3:$A$1000)</f>
        <v>22</v>
      </c>
      <c r="I19" s="17" t="s">
        <v>20</v>
      </c>
      <c r="J19" s="18" t="n">
        <f aca="false">COUNTIF('Easy Projects'!$B:$B,$I19)+COUNTIF('Intermediate Projects'!$B:$B,$I19)+COUNTIF('Industry Projects'!$B:$B,$I19)+COUNTIF('Faculty Projects'!$B:$B,$I19)+COUNTIF('Research Internship Projects'!$B:$B,$I19)</f>
        <v>34</v>
      </c>
    </row>
    <row r="20" customFormat="false" ht="15" hidden="false" customHeight="false" outlineLevel="0" collapsed="false">
      <c r="F20" s="17" t="s">
        <v>21</v>
      </c>
      <c r="G20" s="18" t="n">
        <f aca="false">COUNTA('Research Internship Projects'!$A$3:$A$1000)</f>
        <v>22</v>
      </c>
      <c r="I20" s="17" t="s">
        <v>22</v>
      </c>
      <c r="J20" s="18" t="n">
        <f aca="false">COUNTIF('Easy Projects'!$B:$B,$I20)+COUNTIF('Intermediate Projects'!$B:$B,$I20)+COUNTIF('Industry Projects'!$B:$B,$I20)+COUNTIF('Faculty Projects'!$B:$B,$I20)+COUNTIF('Research Internship Projects'!$B:$B,$I20)</f>
        <v>28</v>
      </c>
    </row>
    <row r="21" customFormat="false" ht="15" hidden="false" customHeight="false" outlineLevel="0" collapsed="false">
      <c r="I21" s="17" t="s">
        <v>23</v>
      </c>
      <c r="J21" s="18" t="n">
        <f aca="false">COUNTIF('Easy Projects'!$B:$B,$I21)+COUNTIF('Intermediate Projects'!$B:$B,$I21)+COUNTIF('Industry Projects'!$B:$B,$I21)+COUNTIF('Faculty Projects'!$B:$B,$I21)+COUNTIF('Research Internship Projects'!$B:$B,$I21)</f>
        <v>31</v>
      </c>
    </row>
    <row r="24" customFormat="false" ht="19.5" hidden="false" customHeight="true" outlineLevel="0" collapsed="false">
      <c r="A24" s="19" t="s">
        <v>24</v>
      </c>
      <c r="B24" s="19"/>
      <c r="C24" s="19"/>
      <c r="D24" s="19"/>
      <c r="E24" s="19"/>
      <c r="F24" s="19"/>
      <c r="G24" s="19"/>
    </row>
    <row r="25" customFormat="false" ht="15" hidden="false" customHeight="false" outlineLevel="0" collapsed="false">
      <c r="A25" s="16" t="s">
        <v>12</v>
      </c>
      <c r="B25" s="16" t="s">
        <v>13</v>
      </c>
      <c r="C25" s="16" t="s">
        <v>15</v>
      </c>
      <c r="D25" s="16" t="s">
        <v>17</v>
      </c>
      <c r="E25" s="16" t="s">
        <v>19</v>
      </c>
      <c r="F25" s="16" t="s">
        <v>21</v>
      </c>
    </row>
    <row r="26" customFormat="false" ht="15" hidden="false" customHeight="false" outlineLevel="0" collapsed="false">
      <c r="A26" s="20" t="s">
        <v>14</v>
      </c>
      <c r="B26" s="18" t="n">
        <f aca="false">COUNTIF('Easy Projects'!$B:$B,$A26)</f>
        <v>8</v>
      </c>
      <c r="C26" s="18" t="n">
        <f aca="false">COUNTIF('Intermediate Projects'!$B:$B,$A26)</f>
        <v>8</v>
      </c>
      <c r="D26" s="18" t="n">
        <f aca="false">COUNTIF('Industry Projects'!$B:$B,$A26)</f>
        <v>6</v>
      </c>
      <c r="E26" s="18" t="n">
        <f aca="false">COUNTIF('Faculty Projects'!$B:$B,$A26)</f>
        <v>2</v>
      </c>
      <c r="F26" s="18" t="n">
        <f aca="false">COUNTIF('Research Internship Projects'!$B:$B,$A26)</f>
        <v>0</v>
      </c>
    </row>
    <row r="27" customFormat="false" ht="15" hidden="false" customHeight="false" outlineLevel="0" collapsed="false">
      <c r="A27" s="20" t="s">
        <v>16</v>
      </c>
      <c r="B27" s="18" t="n">
        <f aca="false">COUNTIF('Easy Projects'!$B:$B,$A27)</f>
        <v>9</v>
      </c>
      <c r="C27" s="18" t="n">
        <f aca="false">COUNTIF('Intermediate Projects'!$B:$B,$A27)</f>
        <v>9</v>
      </c>
      <c r="D27" s="18" t="n">
        <f aca="false">COUNTIF('Industry Projects'!$B:$B,$A27)</f>
        <v>6</v>
      </c>
      <c r="E27" s="18" t="n">
        <f aca="false">COUNTIF('Faculty Projects'!$B:$B,$A27)</f>
        <v>7</v>
      </c>
      <c r="F27" s="18" t="n">
        <f aca="false">COUNTIF('Research Internship Projects'!$B:$B,$A27)</f>
        <v>3</v>
      </c>
    </row>
    <row r="28" customFormat="false" ht="15" hidden="false" customHeight="false" outlineLevel="0" collapsed="false">
      <c r="A28" s="20" t="s">
        <v>18</v>
      </c>
      <c r="B28" s="18" t="n">
        <f aca="false">COUNTIF('Easy Projects'!$B:$B,$A28)</f>
        <v>8</v>
      </c>
      <c r="C28" s="18" t="n">
        <f aca="false">COUNTIF('Intermediate Projects'!$B:$B,$A28)</f>
        <v>8</v>
      </c>
      <c r="D28" s="18" t="n">
        <f aca="false">COUNTIF('Industry Projects'!$B:$B,$A28)</f>
        <v>6</v>
      </c>
      <c r="E28" s="18" t="n">
        <f aca="false">COUNTIF('Faculty Projects'!$B:$B,$A28)</f>
        <v>2</v>
      </c>
      <c r="F28" s="18" t="n">
        <f aca="false">COUNTIF('Research Internship Projects'!$B:$B,$A28)</f>
        <v>5</v>
      </c>
    </row>
    <row r="29" customFormat="false" ht="15" hidden="false" customHeight="false" outlineLevel="0" collapsed="false">
      <c r="A29" s="20" t="s">
        <v>20</v>
      </c>
      <c r="B29" s="18" t="n">
        <f aca="false">COUNTIF('Easy Projects'!$B:$B,$A29)</f>
        <v>9</v>
      </c>
      <c r="C29" s="18" t="n">
        <f aca="false">COUNTIF('Intermediate Projects'!$B:$B,$A29)</f>
        <v>9</v>
      </c>
      <c r="D29" s="18" t="n">
        <f aca="false">COUNTIF('Industry Projects'!$B:$B,$A29)</f>
        <v>6</v>
      </c>
      <c r="E29" s="18" t="n">
        <f aca="false">COUNTIF('Faculty Projects'!$B:$B,$A29)</f>
        <v>5</v>
      </c>
      <c r="F29" s="18" t="n">
        <f aca="false">COUNTIF('Research Internship Projects'!$B:$B,$A29)</f>
        <v>5</v>
      </c>
    </row>
    <row r="30" customFormat="false" ht="15" hidden="false" customHeight="false" outlineLevel="0" collapsed="false">
      <c r="A30" s="20" t="s">
        <v>22</v>
      </c>
      <c r="B30" s="18" t="n">
        <f aca="false">COUNTIF('Easy Projects'!$B:$B,$A30)</f>
        <v>8</v>
      </c>
      <c r="C30" s="18" t="n">
        <f aca="false">COUNTIF('Intermediate Projects'!$B:$B,$A30)</f>
        <v>8</v>
      </c>
      <c r="D30" s="18" t="n">
        <f aca="false">COUNTIF('Industry Projects'!$B:$B,$A30)</f>
        <v>6</v>
      </c>
      <c r="E30" s="18" t="n">
        <f aca="false">COUNTIF('Faculty Projects'!$B:$B,$A30)</f>
        <v>3</v>
      </c>
      <c r="F30" s="18" t="n">
        <f aca="false">COUNTIF('Research Internship Projects'!$B:$B,$A30)</f>
        <v>3</v>
      </c>
    </row>
    <row r="31" customFormat="false" ht="15" hidden="false" customHeight="false" outlineLevel="0" collapsed="false">
      <c r="A31" s="20" t="s">
        <v>23</v>
      </c>
      <c r="B31" s="18" t="n">
        <f aca="false">COUNTIF('Easy Projects'!$B:$B,$A31)</f>
        <v>8</v>
      </c>
      <c r="C31" s="18" t="n">
        <f aca="false">COUNTIF('Intermediate Projects'!$B:$B,$A31)</f>
        <v>8</v>
      </c>
      <c r="D31" s="18" t="n">
        <f aca="false">COUNTIF('Industry Projects'!$B:$B,$A31)</f>
        <v>6</v>
      </c>
      <c r="E31" s="18" t="n">
        <f aca="false">COUNTIF('Faculty Projects'!$B:$B,$A31)</f>
        <v>3</v>
      </c>
      <c r="F31" s="18" t="n">
        <f aca="false">COUNTIF('Research Internship Projects'!$B:$B,$A31)</f>
        <v>6</v>
      </c>
    </row>
  </sheetData>
  <mergeCells count="17">
    <mergeCell ref="A1:N2"/>
    <mergeCell ref="A3:N3"/>
    <mergeCell ref="A5:B5"/>
    <mergeCell ref="C5:D5"/>
    <mergeCell ref="E5:F5"/>
    <mergeCell ref="G5:H5"/>
    <mergeCell ref="I5:J5"/>
    <mergeCell ref="K5:L5"/>
    <mergeCell ref="A6:B8"/>
    <mergeCell ref="C6:D8"/>
    <mergeCell ref="E6:F8"/>
    <mergeCell ref="G6:H8"/>
    <mergeCell ref="I6:J8"/>
    <mergeCell ref="K6:L8"/>
    <mergeCell ref="F14:G14"/>
    <mergeCell ref="I14:J14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2" min="11" style="0" width="16"/>
    <col collapsed="false" customWidth="true" hidden="false" outlineLevel="0" max="13" min="13" style="0" width="13"/>
    <col collapsed="false" customWidth="true" hidden="false" outlineLevel="0" max="16" min="14" style="0" width="14"/>
    <col collapsed="false" customWidth="true" hidden="false" outlineLevel="0" max="17" min="17" style="0" width="20"/>
    <col collapsed="false" customWidth="true" hidden="false" outlineLevel="0" max="18" min="18" style="0" width="16"/>
  </cols>
  <sheetData>
    <row r="1" customFormat="false" ht="25.5" hidden="false" customHeight="true" outlineLevel="0" collapsed="false">
      <c r="A1" s="21" t="s">
        <v>25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33.75" hidden="false" customHeight="true" outlineLevel="0" collapsed="false">
      <c r="A2" s="22" t="s">
        <v>26</v>
      </c>
      <c r="B2" s="22" t="s">
        <v>12</v>
      </c>
      <c r="C2" s="22" t="s">
        <v>27</v>
      </c>
      <c r="D2" s="22" t="s">
        <v>10</v>
      </c>
      <c r="E2" s="22" t="s">
        <v>28</v>
      </c>
      <c r="F2" s="22" t="s">
        <v>29</v>
      </c>
      <c r="G2" s="22" t="s">
        <v>30</v>
      </c>
      <c r="H2" s="22" t="s">
        <v>31</v>
      </c>
      <c r="I2" s="22" t="s">
        <v>32</v>
      </c>
      <c r="J2" s="22" t="s">
        <v>33</v>
      </c>
      <c r="K2" s="22" t="s">
        <v>34</v>
      </c>
      <c r="L2" s="22" t="s">
        <v>35</v>
      </c>
      <c r="M2" s="22" t="s">
        <v>36</v>
      </c>
      <c r="N2" s="22" t="s">
        <v>37</v>
      </c>
      <c r="O2" s="22" t="s">
        <v>38</v>
      </c>
      <c r="P2" s="22" t="s">
        <v>39</v>
      </c>
      <c r="Q2" s="22" t="s">
        <v>40</v>
      </c>
      <c r="R2" s="22" t="s">
        <v>41</v>
      </c>
    </row>
    <row r="3" customFormat="false" ht="60" hidden="false" customHeight="true" outlineLevel="0" collapsed="false">
      <c r="A3" s="23" t="s">
        <v>42</v>
      </c>
      <c r="B3" s="24" t="s">
        <v>14</v>
      </c>
      <c r="C3" s="23" t="s">
        <v>43</v>
      </c>
      <c r="D3" s="25" t="s">
        <v>13</v>
      </c>
      <c r="E3" s="23" t="s">
        <v>44</v>
      </c>
      <c r="F3" s="26" t="s">
        <v>45</v>
      </c>
      <c r="G3" s="26" t="s">
        <v>46</v>
      </c>
      <c r="H3" s="26" t="s">
        <v>47</v>
      </c>
      <c r="I3" s="26" t="s">
        <v>48</v>
      </c>
      <c r="J3" s="26" t="s">
        <v>49</v>
      </c>
      <c r="K3" s="23" t="s">
        <v>50</v>
      </c>
      <c r="L3" s="23" t="s">
        <v>51</v>
      </c>
      <c r="M3" s="23" t="s">
        <v>52</v>
      </c>
      <c r="N3" s="23" t="s">
        <v>53</v>
      </c>
      <c r="O3" s="23" t="s">
        <v>52</v>
      </c>
      <c r="P3" s="23" t="s">
        <v>52</v>
      </c>
      <c r="Q3" s="23" t="s">
        <v>54</v>
      </c>
      <c r="R3" s="27" t="n">
        <v>2</v>
      </c>
    </row>
    <row r="4" customFormat="false" ht="60" hidden="false" customHeight="true" outlineLevel="0" collapsed="false">
      <c r="A4" s="28" t="s">
        <v>55</v>
      </c>
      <c r="B4" s="24" t="s">
        <v>14</v>
      </c>
      <c r="C4" s="28" t="s">
        <v>56</v>
      </c>
      <c r="D4" s="25" t="s">
        <v>13</v>
      </c>
      <c r="E4" s="28" t="s">
        <v>44</v>
      </c>
      <c r="F4" s="29" t="s">
        <v>57</v>
      </c>
      <c r="G4" s="29" t="s">
        <v>46</v>
      </c>
      <c r="H4" s="29" t="s">
        <v>47</v>
      </c>
      <c r="I4" s="29" t="s">
        <v>48</v>
      </c>
      <c r="J4" s="29" t="s">
        <v>49</v>
      </c>
      <c r="K4" s="28" t="s">
        <v>50</v>
      </c>
      <c r="L4" s="28" t="s">
        <v>51</v>
      </c>
      <c r="M4" s="28" t="s">
        <v>52</v>
      </c>
      <c r="N4" s="28" t="s">
        <v>53</v>
      </c>
      <c r="O4" s="28" t="s">
        <v>52</v>
      </c>
      <c r="P4" s="28" t="s">
        <v>52</v>
      </c>
      <c r="Q4" s="28" t="s">
        <v>54</v>
      </c>
      <c r="R4" s="30" t="n">
        <v>3</v>
      </c>
    </row>
    <row r="5" customFormat="false" ht="60" hidden="false" customHeight="true" outlineLevel="0" collapsed="false">
      <c r="A5" s="23" t="s">
        <v>58</v>
      </c>
      <c r="B5" s="24" t="s">
        <v>14</v>
      </c>
      <c r="C5" s="23" t="s">
        <v>59</v>
      </c>
      <c r="D5" s="25" t="s">
        <v>13</v>
      </c>
      <c r="E5" s="23" t="s">
        <v>44</v>
      </c>
      <c r="F5" s="26" t="s">
        <v>60</v>
      </c>
      <c r="G5" s="26" t="s">
        <v>46</v>
      </c>
      <c r="H5" s="26" t="s">
        <v>47</v>
      </c>
      <c r="I5" s="26" t="s">
        <v>48</v>
      </c>
      <c r="J5" s="26" t="s">
        <v>49</v>
      </c>
      <c r="K5" s="23" t="s">
        <v>50</v>
      </c>
      <c r="L5" s="23" t="s">
        <v>51</v>
      </c>
      <c r="M5" s="23" t="s">
        <v>52</v>
      </c>
      <c r="N5" s="23" t="s">
        <v>53</v>
      </c>
      <c r="O5" s="23" t="s">
        <v>52</v>
      </c>
      <c r="P5" s="23" t="s">
        <v>52</v>
      </c>
      <c r="Q5" s="23" t="s">
        <v>54</v>
      </c>
      <c r="R5" s="27" t="n">
        <v>1</v>
      </c>
    </row>
    <row r="6" customFormat="false" ht="60" hidden="false" customHeight="true" outlineLevel="0" collapsed="false">
      <c r="A6" s="28" t="s">
        <v>61</v>
      </c>
      <c r="B6" s="24" t="s">
        <v>14</v>
      </c>
      <c r="C6" s="28" t="s">
        <v>62</v>
      </c>
      <c r="D6" s="25" t="s">
        <v>13</v>
      </c>
      <c r="E6" s="28" t="s">
        <v>44</v>
      </c>
      <c r="F6" s="29" t="s">
        <v>63</v>
      </c>
      <c r="G6" s="29" t="s">
        <v>46</v>
      </c>
      <c r="H6" s="29" t="s">
        <v>47</v>
      </c>
      <c r="I6" s="29" t="s">
        <v>48</v>
      </c>
      <c r="J6" s="29" t="s">
        <v>49</v>
      </c>
      <c r="K6" s="28" t="s">
        <v>50</v>
      </c>
      <c r="L6" s="28" t="s">
        <v>51</v>
      </c>
      <c r="M6" s="28" t="s">
        <v>52</v>
      </c>
      <c r="N6" s="28" t="s">
        <v>53</v>
      </c>
      <c r="O6" s="28" t="s">
        <v>52</v>
      </c>
      <c r="P6" s="28" t="s">
        <v>52</v>
      </c>
      <c r="Q6" s="28" t="s">
        <v>54</v>
      </c>
      <c r="R6" s="30" t="n">
        <v>2</v>
      </c>
    </row>
    <row r="7" customFormat="false" ht="60" hidden="false" customHeight="true" outlineLevel="0" collapsed="false">
      <c r="A7" s="23" t="s">
        <v>64</v>
      </c>
      <c r="B7" s="24" t="s">
        <v>14</v>
      </c>
      <c r="C7" s="23" t="s">
        <v>65</v>
      </c>
      <c r="D7" s="25" t="s">
        <v>13</v>
      </c>
      <c r="E7" s="23" t="s">
        <v>44</v>
      </c>
      <c r="F7" s="26" t="s">
        <v>66</v>
      </c>
      <c r="G7" s="26" t="s">
        <v>46</v>
      </c>
      <c r="H7" s="26" t="s">
        <v>47</v>
      </c>
      <c r="I7" s="26" t="s">
        <v>48</v>
      </c>
      <c r="J7" s="26" t="s">
        <v>49</v>
      </c>
      <c r="K7" s="23" t="s">
        <v>50</v>
      </c>
      <c r="L7" s="23" t="s">
        <v>51</v>
      </c>
      <c r="M7" s="23" t="s">
        <v>52</v>
      </c>
      <c r="N7" s="23" t="s">
        <v>53</v>
      </c>
      <c r="O7" s="23" t="s">
        <v>52</v>
      </c>
      <c r="P7" s="23" t="s">
        <v>52</v>
      </c>
      <c r="Q7" s="23" t="s">
        <v>54</v>
      </c>
      <c r="R7" s="27" t="n">
        <v>3</v>
      </c>
    </row>
    <row r="8" customFormat="false" ht="60" hidden="false" customHeight="true" outlineLevel="0" collapsed="false">
      <c r="A8" s="28" t="s">
        <v>67</v>
      </c>
      <c r="B8" s="24" t="s">
        <v>14</v>
      </c>
      <c r="C8" s="28" t="s">
        <v>68</v>
      </c>
      <c r="D8" s="25" t="s">
        <v>13</v>
      </c>
      <c r="E8" s="28" t="s">
        <v>44</v>
      </c>
      <c r="F8" s="29" t="s">
        <v>69</v>
      </c>
      <c r="G8" s="29" t="s">
        <v>46</v>
      </c>
      <c r="H8" s="29" t="s">
        <v>47</v>
      </c>
      <c r="I8" s="29" t="s">
        <v>48</v>
      </c>
      <c r="J8" s="29" t="s">
        <v>49</v>
      </c>
      <c r="K8" s="28" t="s">
        <v>50</v>
      </c>
      <c r="L8" s="28" t="s">
        <v>51</v>
      </c>
      <c r="M8" s="28" t="s">
        <v>52</v>
      </c>
      <c r="N8" s="28" t="s">
        <v>53</v>
      </c>
      <c r="O8" s="28" t="s">
        <v>52</v>
      </c>
      <c r="P8" s="28" t="s">
        <v>52</v>
      </c>
      <c r="Q8" s="28" t="s">
        <v>54</v>
      </c>
      <c r="R8" s="30" t="n">
        <v>1</v>
      </c>
    </row>
    <row r="9" customFormat="false" ht="60" hidden="false" customHeight="true" outlineLevel="0" collapsed="false">
      <c r="A9" s="23" t="s">
        <v>70</v>
      </c>
      <c r="B9" s="24" t="s">
        <v>14</v>
      </c>
      <c r="C9" s="23" t="s">
        <v>71</v>
      </c>
      <c r="D9" s="25" t="s">
        <v>13</v>
      </c>
      <c r="E9" s="23" t="s">
        <v>44</v>
      </c>
      <c r="F9" s="26" t="s">
        <v>72</v>
      </c>
      <c r="G9" s="26" t="s">
        <v>46</v>
      </c>
      <c r="H9" s="26" t="s">
        <v>47</v>
      </c>
      <c r="I9" s="26" t="s">
        <v>48</v>
      </c>
      <c r="J9" s="26" t="s">
        <v>49</v>
      </c>
      <c r="K9" s="23" t="s">
        <v>50</v>
      </c>
      <c r="L9" s="23" t="s">
        <v>51</v>
      </c>
      <c r="M9" s="23" t="s">
        <v>52</v>
      </c>
      <c r="N9" s="23" t="s">
        <v>53</v>
      </c>
      <c r="O9" s="23" t="s">
        <v>52</v>
      </c>
      <c r="P9" s="23" t="s">
        <v>52</v>
      </c>
      <c r="Q9" s="23" t="s">
        <v>54</v>
      </c>
      <c r="R9" s="27" t="n">
        <v>2</v>
      </c>
    </row>
    <row r="10" customFormat="false" ht="60" hidden="false" customHeight="true" outlineLevel="0" collapsed="false">
      <c r="A10" s="28" t="s">
        <v>73</v>
      </c>
      <c r="B10" s="24" t="s">
        <v>14</v>
      </c>
      <c r="C10" s="28" t="s">
        <v>74</v>
      </c>
      <c r="D10" s="25" t="s">
        <v>13</v>
      </c>
      <c r="E10" s="28" t="s">
        <v>44</v>
      </c>
      <c r="F10" s="29" t="s">
        <v>75</v>
      </c>
      <c r="G10" s="29" t="s">
        <v>46</v>
      </c>
      <c r="H10" s="29" t="s">
        <v>47</v>
      </c>
      <c r="I10" s="29" t="s">
        <v>48</v>
      </c>
      <c r="J10" s="29" t="s">
        <v>49</v>
      </c>
      <c r="K10" s="28" t="s">
        <v>50</v>
      </c>
      <c r="L10" s="28" t="s">
        <v>51</v>
      </c>
      <c r="M10" s="28" t="s">
        <v>52</v>
      </c>
      <c r="N10" s="28" t="s">
        <v>53</v>
      </c>
      <c r="O10" s="28" t="s">
        <v>52</v>
      </c>
      <c r="P10" s="28" t="s">
        <v>52</v>
      </c>
      <c r="Q10" s="28" t="s">
        <v>54</v>
      </c>
      <c r="R10" s="30" t="n">
        <v>3</v>
      </c>
    </row>
    <row r="11" customFormat="false" ht="60" hidden="false" customHeight="true" outlineLevel="0" collapsed="false">
      <c r="A11" s="23" t="s">
        <v>76</v>
      </c>
      <c r="B11" s="31" t="s">
        <v>16</v>
      </c>
      <c r="C11" s="23" t="s">
        <v>77</v>
      </c>
      <c r="D11" s="25" t="s">
        <v>13</v>
      </c>
      <c r="E11" s="23" t="s">
        <v>44</v>
      </c>
      <c r="F11" s="26" t="s">
        <v>78</v>
      </c>
      <c r="G11" s="26" t="s">
        <v>79</v>
      </c>
      <c r="H11" s="26" t="s">
        <v>80</v>
      </c>
      <c r="I11" s="26" t="s">
        <v>81</v>
      </c>
      <c r="J11" s="26" t="s">
        <v>82</v>
      </c>
      <c r="K11" s="23" t="s">
        <v>50</v>
      </c>
      <c r="L11" s="23" t="s">
        <v>51</v>
      </c>
      <c r="M11" s="23" t="s">
        <v>52</v>
      </c>
      <c r="N11" s="23" t="s">
        <v>53</v>
      </c>
      <c r="O11" s="23" t="s">
        <v>52</v>
      </c>
      <c r="P11" s="23" t="s">
        <v>52</v>
      </c>
      <c r="Q11" s="23" t="s">
        <v>54</v>
      </c>
      <c r="R11" s="27" t="n">
        <v>1</v>
      </c>
    </row>
    <row r="12" customFormat="false" ht="60" hidden="false" customHeight="true" outlineLevel="0" collapsed="false">
      <c r="A12" s="28" t="s">
        <v>83</v>
      </c>
      <c r="B12" s="31" t="s">
        <v>16</v>
      </c>
      <c r="C12" s="28" t="s">
        <v>84</v>
      </c>
      <c r="D12" s="25" t="s">
        <v>13</v>
      </c>
      <c r="E12" s="28" t="s">
        <v>44</v>
      </c>
      <c r="F12" s="29" t="s">
        <v>85</v>
      </c>
      <c r="G12" s="29" t="s">
        <v>79</v>
      </c>
      <c r="H12" s="29" t="s">
        <v>80</v>
      </c>
      <c r="I12" s="29" t="s">
        <v>81</v>
      </c>
      <c r="J12" s="29" t="s">
        <v>82</v>
      </c>
      <c r="K12" s="28" t="s">
        <v>50</v>
      </c>
      <c r="L12" s="28" t="s">
        <v>51</v>
      </c>
      <c r="M12" s="28" t="s">
        <v>52</v>
      </c>
      <c r="N12" s="28" t="s">
        <v>53</v>
      </c>
      <c r="O12" s="28" t="s">
        <v>52</v>
      </c>
      <c r="P12" s="28" t="s">
        <v>52</v>
      </c>
      <c r="Q12" s="28" t="s">
        <v>54</v>
      </c>
      <c r="R12" s="30" t="n">
        <v>2</v>
      </c>
    </row>
    <row r="13" customFormat="false" ht="60" hidden="false" customHeight="true" outlineLevel="0" collapsed="false">
      <c r="A13" s="23" t="s">
        <v>86</v>
      </c>
      <c r="B13" s="31" t="s">
        <v>16</v>
      </c>
      <c r="C13" s="23" t="s">
        <v>87</v>
      </c>
      <c r="D13" s="25" t="s">
        <v>13</v>
      </c>
      <c r="E13" s="23" t="s">
        <v>44</v>
      </c>
      <c r="F13" s="26" t="s">
        <v>88</v>
      </c>
      <c r="G13" s="26" t="s">
        <v>79</v>
      </c>
      <c r="H13" s="26" t="s">
        <v>80</v>
      </c>
      <c r="I13" s="26" t="s">
        <v>81</v>
      </c>
      <c r="J13" s="26" t="s">
        <v>82</v>
      </c>
      <c r="K13" s="23" t="s">
        <v>50</v>
      </c>
      <c r="L13" s="23" t="s">
        <v>51</v>
      </c>
      <c r="M13" s="23" t="s">
        <v>52</v>
      </c>
      <c r="N13" s="23" t="s">
        <v>53</v>
      </c>
      <c r="O13" s="23" t="s">
        <v>52</v>
      </c>
      <c r="P13" s="23" t="s">
        <v>52</v>
      </c>
      <c r="Q13" s="23" t="s">
        <v>54</v>
      </c>
      <c r="R13" s="27" t="n">
        <v>3</v>
      </c>
    </row>
    <row r="14" customFormat="false" ht="60" hidden="false" customHeight="true" outlineLevel="0" collapsed="false">
      <c r="A14" s="28" t="s">
        <v>89</v>
      </c>
      <c r="B14" s="31" t="s">
        <v>16</v>
      </c>
      <c r="C14" s="28" t="s">
        <v>90</v>
      </c>
      <c r="D14" s="25" t="s">
        <v>13</v>
      </c>
      <c r="E14" s="28" t="s">
        <v>44</v>
      </c>
      <c r="F14" s="29" t="s">
        <v>91</v>
      </c>
      <c r="G14" s="29" t="s">
        <v>79</v>
      </c>
      <c r="H14" s="29" t="s">
        <v>80</v>
      </c>
      <c r="I14" s="29" t="s">
        <v>81</v>
      </c>
      <c r="J14" s="29" t="s">
        <v>82</v>
      </c>
      <c r="K14" s="28" t="s">
        <v>50</v>
      </c>
      <c r="L14" s="28" t="s">
        <v>51</v>
      </c>
      <c r="M14" s="28" t="s">
        <v>52</v>
      </c>
      <c r="N14" s="28" t="s">
        <v>53</v>
      </c>
      <c r="O14" s="28" t="s">
        <v>52</v>
      </c>
      <c r="P14" s="28" t="s">
        <v>52</v>
      </c>
      <c r="Q14" s="28" t="s">
        <v>54</v>
      </c>
      <c r="R14" s="30" t="n">
        <v>1</v>
      </c>
    </row>
    <row r="15" customFormat="false" ht="60" hidden="false" customHeight="true" outlineLevel="0" collapsed="false">
      <c r="A15" s="23" t="s">
        <v>92</v>
      </c>
      <c r="B15" s="31" t="s">
        <v>16</v>
      </c>
      <c r="C15" s="23" t="s">
        <v>93</v>
      </c>
      <c r="D15" s="25" t="s">
        <v>13</v>
      </c>
      <c r="E15" s="23" t="s">
        <v>44</v>
      </c>
      <c r="F15" s="26" t="s">
        <v>94</v>
      </c>
      <c r="G15" s="26" t="s">
        <v>79</v>
      </c>
      <c r="H15" s="26" t="s">
        <v>80</v>
      </c>
      <c r="I15" s="26" t="s">
        <v>81</v>
      </c>
      <c r="J15" s="26" t="s">
        <v>82</v>
      </c>
      <c r="K15" s="23" t="s">
        <v>50</v>
      </c>
      <c r="L15" s="23" t="s">
        <v>51</v>
      </c>
      <c r="M15" s="23" t="s">
        <v>52</v>
      </c>
      <c r="N15" s="23" t="s">
        <v>53</v>
      </c>
      <c r="O15" s="23" t="s">
        <v>52</v>
      </c>
      <c r="P15" s="23" t="s">
        <v>52</v>
      </c>
      <c r="Q15" s="23" t="s">
        <v>54</v>
      </c>
      <c r="R15" s="27" t="n">
        <v>2</v>
      </c>
    </row>
    <row r="16" customFormat="false" ht="60" hidden="false" customHeight="true" outlineLevel="0" collapsed="false">
      <c r="A16" s="28" t="s">
        <v>95</v>
      </c>
      <c r="B16" s="31" t="s">
        <v>16</v>
      </c>
      <c r="C16" s="28" t="s">
        <v>96</v>
      </c>
      <c r="D16" s="25" t="s">
        <v>13</v>
      </c>
      <c r="E16" s="28" t="s">
        <v>44</v>
      </c>
      <c r="F16" s="29" t="s">
        <v>97</v>
      </c>
      <c r="G16" s="29" t="s">
        <v>79</v>
      </c>
      <c r="H16" s="29" t="s">
        <v>80</v>
      </c>
      <c r="I16" s="29" t="s">
        <v>81</v>
      </c>
      <c r="J16" s="29" t="s">
        <v>82</v>
      </c>
      <c r="K16" s="28" t="s">
        <v>50</v>
      </c>
      <c r="L16" s="28" t="s">
        <v>51</v>
      </c>
      <c r="M16" s="28" t="s">
        <v>52</v>
      </c>
      <c r="N16" s="28" t="s">
        <v>53</v>
      </c>
      <c r="O16" s="28" t="s">
        <v>52</v>
      </c>
      <c r="P16" s="28" t="s">
        <v>52</v>
      </c>
      <c r="Q16" s="28" t="s">
        <v>54</v>
      </c>
      <c r="R16" s="30" t="n">
        <v>3</v>
      </c>
    </row>
    <row r="17" customFormat="false" ht="60" hidden="false" customHeight="true" outlineLevel="0" collapsed="false">
      <c r="A17" s="23" t="s">
        <v>98</v>
      </c>
      <c r="B17" s="31" t="s">
        <v>16</v>
      </c>
      <c r="C17" s="23" t="s">
        <v>99</v>
      </c>
      <c r="D17" s="25" t="s">
        <v>13</v>
      </c>
      <c r="E17" s="23" t="s">
        <v>44</v>
      </c>
      <c r="F17" s="26" t="s">
        <v>100</v>
      </c>
      <c r="G17" s="26" t="s">
        <v>79</v>
      </c>
      <c r="H17" s="26" t="s">
        <v>80</v>
      </c>
      <c r="I17" s="26" t="s">
        <v>81</v>
      </c>
      <c r="J17" s="26" t="s">
        <v>82</v>
      </c>
      <c r="K17" s="23" t="s">
        <v>50</v>
      </c>
      <c r="L17" s="23" t="s">
        <v>51</v>
      </c>
      <c r="M17" s="23" t="s">
        <v>52</v>
      </c>
      <c r="N17" s="23" t="s">
        <v>53</v>
      </c>
      <c r="O17" s="23" t="s">
        <v>52</v>
      </c>
      <c r="P17" s="23" t="s">
        <v>52</v>
      </c>
      <c r="Q17" s="23" t="s">
        <v>54</v>
      </c>
      <c r="R17" s="27" t="n">
        <v>1</v>
      </c>
    </row>
    <row r="18" customFormat="false" ht="60" hidden="false" customHeight="true" outlineLevel="0" collapsed="false">
      <c r="A18" s="28" t="s">
        <v>101</v>
      </c>
      <c r="B18" s="31" t="s">
        <v>16</v>
      </c>
      <c r="C18" s="28" t="s">
        <v>102</v>
      </c>
      <c r="D18" s="25" t="s">
        <v>13</v>
      </c>
      <c r="E18" s="28" t="s">
        <v>44</v>
      </c>
      <c r="F18" s="29" t="s">
        <v>103</v>
      </c>
      <c r="G18" s="29" t="s">
        <v>79</v>
      </c>
      <c r="H18" s="29" t="s">
        <v>80</v>
      </c>
      <c r="I18" s="29" t="s">
        <v>81</v>
      </c>
      <c r="J18" s="29" t="s">
        <v>82</v>
      </c>
      <c r="K18" s="28" t="s">
        <v>50</v>
      </c>
      <c r="L18" s="28" t="s">
        <v>51</v>
      </c>
      <c r="M18" s="28" t="s">
        <v>52</v>
      </c>
      <c r="N18" s="28" t="s">
        <v>53</v>
      </c>
      <c r="O18" s="28" t="s">
        <v>52</v>
      </c>
      <c r="P18" s="28" t="s">
        <v>52</v>
      </c>
      <c r="Q18" s="28" t="s">
        <v>54</v>
      </c>
      <c r="R18" s="30" t="n">
        <v>2</v>
      </c>
    </row>
    <row r="19" customFormat="false" ht="60" hidden="false" customHeight="true" outlineLevel="0" collapsed="false">
      <c r="A19" s="23" t="s">
        <v>104</v>
      </c>
      <c r="B19" s="31" t="s">
        <v>16</v>
      </c>
      <c r="C19" s="23" t="s">
        <v>105</v>
      </c>
      <c r="D19" s="25" t="s">
        <v>13</v>
      </c>
      <c r="E19" s="23" t="s">
        <v>44</v>
      </c>
      <c r="F19" s="26" t="s">
        <v>106</v>
      </c>
      <c r="G19" s="26" t="s">
        <v>79</v>
      </c>
      <c r="H19" s="26" t="s">
        <v>80</v>
      </c>
      <c r="I19" s="26" t="s">
        <v>81</v>
      </c>
      <c r="J19" s="26" t="s">
        <v>82</v>
      </c>
      <c r="K19" s="23" t="s">
        <v>50</v>
      </c>
      <c r="L19" s="23" t="s">
        <v>51</v>
      </c>
      <c r="M19" s="23" t="s">
        <v>52</v>
      </c>
      <c r="N19" s="23" t="s">
        <v>53</v>
      </c>
      <c r="O19" s="23" t="s">
        <v>52</v>
      </c>
      <c r="P19" s="23" t="s">
        <v>52</v>
      </c>
      <c r="Q19" s="23" t="s">
        <v>54</v>
      </c>
      <c r="R19" s="27" t="n">
        <v>3</v>
      </c>
    </row>
    <row r="20" customFormat="false" ht="60" hidden="false" customHeight="true" outlineLevel="0" collapsed="false">
      <c r="A20" s="28" t="s">
        <v>107</v>
      </c>
      <c r="B20" s="32" t="s">
        <v>18</v>
      </c>
      <c r="C20" s="28" t="s">
        <v>108</v>
      </c>
      <c r="D20" s="25" t="s">
        <v>13</v>
      </c>
      <c r="E20" s="28" t="s">
        <v>44</v>
      </c>
      <c r="F20" s="29" t="s">
        <v>109</v>
      </c>
      <c r="G20" s="29" t="s">
        <v>110</v>
      </c>
      <c r="H20" s="29" t="s">
        <v>111</v>
      </c>
      <c r="I20" s="29" t="s">
        <v>112</v>
      </c>
      <c r="J20" s="29" t="s">
        <v>113</v>
      </c>
      <c r="K20" s="28" t="s">
        <v>50</v>
      </c>
      <c r="L20" s="28" t="s">
        <v>51</v>
      </c>
      <c r="M20" s="28" t="s">
        <v>52</v>
      </c>
      <c r="N20" s="28" t="s">
        <v>53</v>
      </c>
      <c r="O20" s="28" t="s">
        <v>52</v>
      </c>
      <c r="P20" s="28" t="s">
        <v>52</v>
      </c>
      <c r="Q20" s="28" t="s">
        <v>54</v>
      </c>
      <c r="R20" s="30" t="n">
        <v>1</v>
      </c>
    </row>
    <row r="21" customFormat="false" ht="60" hidden="false" customHeight="true" outlineLevel="0" collapsed="false">
      <c r="A21" s="23" t="s">
        <v>114</v>
      </c>
      <c r="B21" s="32" t="s">
        <v>18</v>
      </c>
      <c r="C21" s="23" t="s">
        <v>115</v>
      </c>
      <c r="D21" s="25" t="s">
        <v>13</v>
      </c>
      <c r="E21" s="23" t="s">
        <v>44</v>
      </c>
      <c r="F21" s="26" t="s">
        <v>116</v>
      </c>
      <c r="G21" s="26" t="s">
        <v>110</v>
      </c>
      <c r="H21" s="26" t="s">
        <v>111</v>
      </c>
      <c r="I21" s="26" t="s">
        <v>112</v>
      </c>
      <c r="J21" s="26" t="s">
        <v>113</v>
      </c>
      <c r="K21" s="23" t="s">
        <v>50</v>
      </c>
      <c r="L21" s="23" t="s">
        <v>51</v>
      </c>
      <c r="M21" s="23" t="s">
        <v>52</v>
      </c>
      <c r="N21" s="23" t="s">
        <v>53</v>
      </c>
      <c r="O21" s="23" t="s">
        <v>52</v>
      </c>
      <c r="P21" s="23" t="s">
        <v>52</v>
      </c>
      <c r="Q21" s="23" t="s">
        <v>54</v>
      </c>
      <c r="R21" s="27" t="n">
        <v>2</v>
      </c>
    </row>
    <row r="22" customFormat="false" ht="60" hidden="false" customHeight="true" outlineLevel="0" collapsed="false">
      <c r="A22" s="28" t="s">
        <v>117</v>
      </c>
      <c r="B22" s="32" t="s">
        <v>18</v>
      </c>
      <c r="C22" s="28" t="s">
        <v>118</v>
      </c>
      <c r="D22" s="25" t="s">
        <v>13</v>
      </c>
      <c r="E22" s="28" t="s">
        <v>44</v>
      </c>
      <c r="F22" s="29" t="s">
        <v>119</v>
      </c>
      <c r="G22" s="29" t="s">
        <v>110</v>
      </c>
      <c r="H22" s="29" t="s">
        <v>111</v>
      </c>
      <c r="I22" s="29" t="s">
        <v>112</v>
      </c>
      <c r="J22" s="29" t="s">
        <v>113</v>
      </c>
      <c r="K22" s="28" t="s">
        <v>50</v>
      </c>
      <c r="L22" s="28" t="s">
        <v>51</v>
      </c>
      <c r="M22" s="28" t="s">
        <v>52</v>
      </c>
      <c r="N22" s="28" t="s">
        <v>53</v>
      </c>
      <c r="O22" s="28" t="s">
        <v>52</v>
      </c>
      <c r="P22" s="28" t="s">
        <v>52</v>
      </c>
      <c r="Q22" s="28" t="s">
        <v>54</v>
      </c>
      <c r="R22" s="30" t="n">
        <v>3</v>
      </c>
    </row>
    <row r="23" customFormat="false" ht="60" hidden="false" customHeight="true" outlineLevel="0" collapsed="false">
      <c r="A23" s="23" t="s">
        <v>120</v>
      </c>
      <c r="B23" s="32" t="s">
        <v>18</v>
      </c>
      <c r="C23" s="23" t="s">
        <v>121</v>
      </c>
      <c r="D23" s="25" t="s">
        <v>13</v>
      </c>
      <c r="E23" s="23" t="s">
        <v>44</v>
      </c>
      <c r="F23" s="26" t="s">
        <v>122</v>
      </c>
      <c r="G23" s="26" t="s">
        <v>110</v>
      </c>
      <c r="H23" s="26" t="s">
        <v>111</v>
      </c>
      <c r="I23" s="26" t="s">
        <v>112</v>
      </c>
      <c r="J23" s="26" t="s">
        <v>113</v>
      </c>
      <c r="K23" s="23" t="s">
        <v>50</v>
      </c>
      <c r="L23" s="23" t="s">
        <v>51</v>
      </c>
      <c r="M23" s="23" t="s">
        <v>52</v>
      </c>
      <c r="N23" s="23" t="s">
        <v>53</v>
      </c>
      <c r="O23" s="23" t="s">
        <v>52</v>
      </c>
      <c r="P23" s="23" t="s">
        <v>52</v>
      </c>
      <c r="Q23" s="23" t="s">
        <v>54</v>
      </c>
      <c r="R23" s="27" t="n">
        <v>1</v>
      </c>
    </row>
    <row r="24" customFormat="false" ht="60" hidden="false" customHeight="true" outlineLevel="0" collapsed="false">
      <c r="A24" s="28" t="s">
        <v>123</v>
      </c>
      <c r="B24" s="32" t="s">
        <v>18</v>
      </c>
      <c r="C24" s="28" t="s">
        <v>124</v>
      </c>
      <c r="D24" s="25" t="s">
        <v>13</v>
      </c>
      <c r="E24" s="28" t="s">
        <v>44</v>
      </c>
      <c r="F24" s="29" t="s">
        <v>125</v>
      </c>
      <c r="G24" s="29" t="s">
        <v>110</v>
      </c>
      <c r="H24" s="29" t="s">
        <v>111</v>
      </c>
      <c r="I24" s="29" t="s">
        <v>112</v>
      </c>
      <c r="J24" s="29" t="s">
        <v>113</v>
      </c>
      <c r="K24" s="28" t="s">
        <v>50</v>
      </c>
      <c r="L24" s="28" t="s">
        <v>51</v>
      </c>
      <c r="M24" s="28" t="s">
        <v>52</v>
      </c>
      <c r="N24" s="28" t="s">
        <v>53</v>
      </c>
      <c r="O24" s="28" t="s">
        <v>52</v>
      </c>
      <c r="P24" s="28" t="s">
        <v>52</v>
      </c>
      <c r="Q24" s="28" t="s">
        <v>54</v>
      </c>
      <c r="R24" s="30" t="n">
        <v>2</v>
      </c>
    </row>
    <row r="25" customFormat="false" ht="60" hidden="false" customHeight="true" outlineLevel="0" collapsed="false">
      <c r="A25" s="23" t="s">
        <v>126</v>
      </c>
      <c r="B25" s="32" t="s">
        <v>18</v>
      </c>
      <c r="C25" s="23" t="s">
        <v>127</v>
      </c>
      <c r="D25" s="25" t="s">
        <v>13</v>
      </c>
      <c r="E25" s="23" t="s">
        <v>44</v>
      </c>
      <c r="F25" s="26" t="s">
        <v>128</v>
      </c>
      <c r="G25" s="26" t="s">
        <v>110</v>
      </c>
      <c r="H25" s="26" t="s">
        <v>111</v>
      </c>
      <c r="I25" s="26" t="s">
        <v>112</v>
      </c>
      <c r="J25" s="26" t="s">
        <v>113</v>
      </c>
      <c r="K25" s="23" t="s">
        <v>50</v>
      </c>
      <c r="L25" s="23" t="s">
        <v>51</v>
      </c>
      <c r="M25" s="23" t="s">
        <v>52</v>
      </c>
      <c r="N25" s="23" t="s">
        <v>53</v>
      </c>
      <c r="O25" s="23" t="s">
        <v>52</v>
      </c>
      <c r="P25" s="23" t="s">
        <v>52</v>
      </c>
      <c r="Q25" s="23" t="s">
        <v>54</v>
      </c>
      <c r="R25" s="27" t="n">
        <v>3</v>
      </c>
    </row>
    <row r="26" customFormat="false" ht="60" hidden="false" customHeight="true" outlineLevel="0" collapsed="false">
      <c r="A26" s="28" t="s">
        <v>129</v>
      </c>
      <c r="B26" s="32" t="s">
        <v>18</v>
      </c>
      <c r="C26" s="28" t="s">
        <v>130</v>
      </c>
      <c r="D26" s="25" t="s">
        <v>13</v>
      </c>
      <c r="E26" s="28" t="s">
        <v>44</v>
      </c>
      <c r="F26" s="29" t="s">
        <v>131</v>
      </c>
      <c r="G26" s="29" t="s">
        <v>110</v>
      </c>
      <c r="H26" s="29" t="s">
        <v>111</v>
      </c>
      <c r="I26" s="29" t="s">
        <v>112</v>
      </c>
      <c r="J26" s="29" t="s">
        <v>113</v>
      </c>
      <c r="K26" s="28" t="s">
        <v>50</v>
      </c>
      <c r="L26" s="28" t="s">
        <v>51</v>
      </c>
      <c r="M26" s="28" t="s">
        <v>52</v>
      </c>
      <c r="N26" s="28" t="s">
        <v>53</v>
      </c>
      <c r="O26" s="28" t="s">
        <v>52</v>
      </c>
      <c r="P26" s="28" t="s">
        <v>52</v>
      </c>
      <c r="Q26" s="28" t="s">
        <v>54</v>
      </c>
      <c r="R26" s="30" t="n">
        <v>1</v>
      </c>
    </row>
    <row r="27" customFormat="false" ht="60" hidden="false" customHeight="true" outlineLevel="0" collapsed="false">
      <c r="A27" s="23" t="s">
        <v>132</v>
      </c>
      <c r="B27" s="32" t="s">
        <v>18</v>
      </c>
      <c r="C27" s="23" t="s">
        <v>133</v>
      </c>
      <c r="D27" s="25" t="s">
        <v>13</v>
      </c>
      <c r="E27" s="23" t="s">
        <v>44</v>
      </c>
      <c r="F27" s="26" t="s">
        <v>134</v>
      </c>
      <c r="G27" s="26" t="s">
        <v>110</v>
      </c>
      <c r="H27" s="26" t="s">
        <v>111</v>
      </c>
      <c r="I27" s="26" t="s">
        <v>112</v>
      </c>
      <c r="J27" s="26" t="s">
        <v>113</v>
      </c>
      <c r="K27" s="23" t="s">
        <v>50</v>
      </c>
      <c r="L27" s="23" t="s">
        <v>51</v>
      </c>
      <c r="M27" s="23" t="s">
        <v>52</v>
      </c>
      <c r="N27" s="23" t="s">
        <v>53</v>
      </c>
      <c r="O27" s="23" t="s">
        <v>52</v>
      </c>
      <c r="P27" s="23" t="s">
        <v>52</v>
      </c>
      <c r="Q27" s="23" t="s">
        <v>54</v>
      </c>
      <c r="R27" s="27" t="n">
        <v>2</v>
      </c>
    </row>
    <row r="28" customFormat="false" ht="60" hidden="false" customHeight="true" outlineLevel="0" collapsed="false">
      <c r="A28" s="28" t="s">
        <v>135</v>
      </c>
      <c r="B28" s="33" t="s">
        <v>20</v>
      </c>
      <c r="C28" s="28" t="s">
        <v>136</v>
      </c>
      <c r="D28" s="25" t="s">
        <v>13</v>
      </c>
      <c r="E28" s="28" t="s">
        <v>44</v>
      </c>
      <c r="F28" s="29" t="s">
        <v>137</v>
      </c>
      <c r="G28" s="29" t="s">
        <v>138</v>
      </c>
      <c r="H28" s="29" t="s">
        <v>139</v>
      </c>
      <c r="I28" s="29" t="s">
        <v>140</v>
      </c>
      <c r="J28" s="29" t="s">
        <v>141</v>
      </c>
      <c r="K28" s="28" t="s">
        <v>50</v>
      </c>
      <c r="L28" s="28" t="s">
        <v>51</v>
      </c>
      <c r="M28" s="28" t="s">
        <v>52</v>
      </c>
      <c r="N28" s="28" t="s">
        <v>53</v>
      </c>
      <c r="O28" s="28" t="s">
        <v>52</v>
      </c>
      <c r="P28" s="28" t="s">
        <v>52</v>
      </c>
      <c r="Q28" s="28" t="s">
        <v>54</v>
      </c>
      <c r="R28" s="30" t="n">
        <v>3</v>
      </c>
    </row>
    <row r="29" customFormat="false" ht="60" hidden="false" customHeight="true" outlineLevel="0" collapsed="false">
      <c r="A29" s="23" t="s">
        <v>142</v>
      </c>
      <c r="B29" s="33" t="s">
        <v>20</v>
      </c>
      <c r="C29" s="23" t="s">
        <v>143</v>
      </c>
      <c r="D29" s="25" t="s">
        <v>13</v>
      </c>
      <c r="E29" s="23" t="s">
        <v>44</v>
      </c>
      <c r="F29" s="26" t="s">
        <v>144</v>
      </c>
      <c r="G29" s="26" t="s">
        <v>138</v>
      </c>
      <c r="H29" s="26" t="s">
        <v>139</v>
      </c>
      <c r="I29" s="26" t="s">
        <v>140</v>
      </c>
      <c r="J29" s="26" t="s">
        <v>141</v>
      </c>
      <c r="K29" s="23" t="s">
        <v>50</v>
      </c>
      <c r="L29" s="23" t="s">
        <v>51</v>
      </c>
      <c r="M29" s="23" t="s">
        <v>52</v>
      </c>
      <c r="N29" s="23" t="s">
        <v>53</v>
      </c>
      <c r="O29" s="23" t="s">
        <v>52</v>
      </c>
      <c r="P29" s="23" t="s">
        <v>52</v>
      </c>
      <c r="Q29" s="23" t="s">
        <v>54</v>
      </c>
      <c r="R29" s="27" t="n">
        <v>1</v>
      </c>
    </row>
    <row r="30" customFormat="false" ht="60" hidden="false" customHeight="true" outlineLevel="0" collapsed="false">
      <c r="A30" s="28" t="s">
        <v>145</v>
      </c>
      <c r="B30" s="33" t="s">
        <v>20</v>
      </c>
      <c r="C30" s="28" t="s">
        <v>146</v>
      </c>
      <c r="D30" s="25" t="s">
        <v>13</v>
      </c>
      <c r="E30" s="28" t="s">
        <v>44</v>
      </c>
      <c r="F30" s="29" t="s">
        <v>147</v>
      </c>
      <c r="G30" s="29" t="s">
        <v>138</v>
      </c>
      <c r="H30" s="29" t="s">
        <v>139</v>
      </c>
      <c r="I30" s="29" t="s">
        <v>140</v>
      </c>
      <c r="J30" s="29" t="s">
        <v>141</v>
      </c>
      <c r="K30" s="28" t="s">
        <v>50</v>
      </c>
      <c r="L30" s="28" t="s">
        <v>51</v>
      </c>
      <c r="M30" s="28" t="s">
        <v>52</v>
      </c>
      <c r="N30" s="28" t="s">
        <v>53</v>
      </c>
      <c r="O30" s="28" t="s">
        <v>52</v>
      </c>
      <c r="P30" s="28" t="s">
        <v>52</v>
      </c>
      <c r="Q30" s="28" t="s">
        <v>54</v>
      </c>
      <c r="R30" s="30" t="n">
        <v>2</v>
      </c>
    </row>
    <row r="31" customFormat="false" ht="60" hidden="false" customHeight="true" outlineLevel="0" collapsed="false">
      <c r="A31" s="23" t="s">
        <v>148</v>
      </c>
      <c r="B31" s="33" t="s">
        <v>20</v>
      </c>
      <c r="C31" s="23" t="s">
        <v>149</v>
      </c>
      <c r="D31" s="25" t="s">
        <v>13</v>
      </c>
      <c r="E31" s="23" t="s">
        <v>44</v>
      </c>
      <c r="F31" s="26" t="s">
        <v>150</v>
      </c>
      <c r="G31" s="26" t="s">
        <v>138</v>
      </c>
      <c r="H31" s="26" t="s">
        <v>139</v>
      </c>
      <c r="I31" s="26" t="s">
        <v>140</v>
      </c>
      <c r="J31" s="26" t="s">
        <v>141</v>
      </c>
      <c r="K31" s="23" t="s">
        <v>50</v>
      </c>
      <c r="L31" s="23" t="s">
        <v>51</v>
      </c>
      <c r="M31" s="23" t="s">
        <v>52</v>
      </c>
      <c r="N31" s="23" t="s">
        <v>53</v>
      </c>
      <c r="O31" s="23" t="s">
        <v>52</v>
      </c>
      <c r="P31" s="23" t="s">
        <v>52</v>
      </c>
      <c r="Q31" s="23" t="s">
        <v>54</v>
      </c>
      <c r="R31" s="27" t="n">
        <v>3</v>
      </c>
    </row>
    <row r="32" customFormat="false" ht="60" hidden="false" customHeight="true" outlineLevel="0" collapsed="false">
      <c r="A32" s="28" t="s">
        <v>151</v>
      </c>
      <c r="B32" s="33" t="s">
        <v>20</v>
      </c>
      <c r="C32" s="28" t="s">
        <v>152</v>
      </c>
      <c r="D32" s="25" t="s">
        <v>13</v>
      </c>
      <c r="E32" s="28" t="s">
        <v>44</v>
      </c>
      <c r="F32" s="29" t="s">
        <v>153</v>
      </c>
      <c r="G32" s="29" t="s">
        <v>138</v>
      </c>
      <c r="H32" s="29" t="s">
        <v>139</v>
      </c>
      <c r="I32" s="29" t="s">
        <v>140</v>
      </c>
      <c r="J32" s="29" t="s">
        <v>141</v>
      </c>
      <c r="K32" s="28" t="s">
        <v>50</v>
      </c>
      <c r="L32" s="28" t="s">
        <v>51</v>
      </c>
      <c r="M32" s="28" t="s">
        <v>52</v>
      </c>
      <c r="N32" s="28" t="s">
        <v>53</v>
      </c>
      <c r="O32" s="28" t="s">
        <v>52</v>
      </c>
      <c r="P32" s="28" t="s">
        <v>52</v>
      </c>
      <c r="Q32" s="28" t="s">
        <v>54</v>
      </c>
      <c r="R32" s="30" t="n">
        <v>1</v>
      </c>
    </row>
    <row r="33" customFormat="false" ht="60" hidden="false" customHeight="true" outlineLevel="0" collapsed="false">
      <c r="A33" s="23" t="s">
        <v>154</v>
      </c>
      <c r="B33" s="33" t="s">
        <v>20</v>
      </c>
      <c r="C33" s="23" t="s">
        <v>155</v>
      </c>
      <c r="D33" s="25" t="s">
        <v>13</v>
      </c>
      <c r="E33" s="23" t="s">
        <v>44</v>
      </c>
      <c r="F33" s="26" t="s">
        <v>156</v>
      </c>
      <c r="G33" s="26" t="s">
        <v>138</v>
      </c>
      <c r="H33" s="26" t="s">
        <v>139</v>
      </c>
      <c r="I33" s="26" t="s">
        <v>140</v>
      </c>
      <c r="J33" s="26" t="s">
        <v>141</v>
      </c>
      <c r="K33" s="23" t="s">
        <v>50</v>
      </c>
      <c r="L33" s="23" t="s">
        <v>51</v>
      </c>
      <c r="M33" s="23" t="s">
        <v>52</v>
      </c>
      <c r="N33" s="23" t="s">
        <v>53</v>
      </c>
      <c r="O33" s="23" t="s">
        <v>52</v>
      </c>
      <c r="P33" s="23" t="s">
        <v>52</v>
      </c>
      <c r="Q33" s="23" t="s">
        <v>54</v>
      </c>
      <c r="R33" s="27" t="n">
        <v>2</v>
      </c>
    </row>
    <row r="34" customFormat="false" ht="60" hidden="false" customHeight="true" outlineLevel="0" collapsed="false">
      <c r="A34" s="28" t="s">
        <v>157</v>
      </c>
      <c r="B34" s="33" t="s">
        <v>20</v>
      </c>
      <c r="C34" s="28" t="s">
        <v>158</v>
      </c>
      <c r="D34" s="25" t="s">
        <v>13</v>
      </c>
      <c r="E34" s="28" t="s">
        <v>44</v>
      </c>
      <c r="F34" s="29" t="s">
        <v>159</v>
      </c>
      <c r="G34" s="29" t="s">
        <v>138</v>
      </c>
      <c r="H34" s="29" t="s">
        <v>139</v>
      </c>
      <c r="I34" s="29" t="s">
        <v>140</v>
      </c>
      <c r="J34" s="29" t="s">
        <v>141</v>
      </c>
      <c r="K34" s="28" t="s">
        <v>50</v>
      </c>
      <c r="L34" s="28" t="s">
        <v>51</v>
      </c>
      <c r="M34" s="28" t="s">
        <v>52</v>
      </c>
      <c r="N34" s="28" t="s">
        <v>53</v>
      </c>
      <c r="O34" s="28" t="s">
        <v>52</v>
      </c>
      <c r="P34" s="28" t="s">
        <v>52</v>
      </c>
      <c r="Q34" s="28" t="s">
        <v>54</v>
      </c>
      <c r="R34" s="30" t="n">
        <v>3</v>
      </c>
    </row>
    <row r="35" customFormat="false" ht="60" hidden="false" customHeight="true" outlineLevel="0" collapsed="false">
      <c r="A35" s="23" t="s">
        <v>160</v>
      </c>
      <c r="B35" s="33" t="s">
        <v>20</v>
      </c>
      <c r="C35" s="23" t="s">
        <v>161</v>
      </c>
      <c r="D35" s="25" t="s">
        <v>13</v>
      </c>
      <c r="E35" s="23" t="s">
        <v>44</v>
      </c>
      <c r="F35" s="26" t="s">
        <v>162</v>
      </c>
      <c r="G35" s="26" t="s">
        <v>138</v>
      </c>
      <c r="H35" s="26" t="s">
        <v>139</v>
      </c>
      <c r="I35" s="26" t="s">
        <v>140</v>
      </c>
      <c r="J35" s="26" t="s">
        <v>141</v>
      </c>
      <c r="K35" s="23" t="s">
        <v>50</v>
      </c>
      <c r="L35" s="23" t="s">
        <v>51</v>
      </c>
      <c r="M35" s="23" t="s">
        <v>52</v>
      </c>
      <c r="N35" s="23" t="s">
        <v>53</v>
      </c>
      <c r="O35" s="23" t="s">
        <v>52</v>
      </c>
      <c r="P35" s="23" t="s">
        <v>52</v>
      </c>
      <c r="Q35" s="23" t="s">
        <v>54</v>
      </c>
      <c r="R35" s="27" t="n">
        <v>1</v>
      </c>
    </row>
    <row r="36" customFormat="false" ht="60" hidden="false" customHeight="true" outlineLevel="0" collapsed="false">
      <c r="A36" s="28" t="s">
        <v>163</v>
      </c>
      <c r="B36" s="33" t="s">
        <v>20</v>
      </c>
      <c r="C36" s="28" t="s">
        <v>164</v>
      </c>
      <c r="D36" s="25" t="s">
        <v>13</v>
      </c>
      <c r="E36" s="28" t="s">
        <v>44</v>
      </c>
      <c r="F36" s="29" t="s">
        <v>165</v>
      </c>
      <c r="G36" s="29" t="s">
        <v>138</v>
      </c>
      <c r="H36" s="29" t="s">
        <v>139</v>
      </c>
      <c r="I36" s="29" t="s">
        <v>140</v>
      </c>
      <c r="J36" s="29" t="s">
        <v>141</v>
      </c>
      <c r="K36" s="28" t="s">
        <v>50</v>
      </c>
      <c r="L36" s="28" t="s">
        <v>51</v>
      </c>
      <c r="M36" s="28" t="s">
        <v>52</v>
      </c>
      <c r="N36" s="28" t="s">
        <v>53</v>
      </c>
      <c r="O36" s="28" t="s">
        <v>52</v>
      </c>
      <c r="P36" s="28" t="s">
        <v>52</v>
      </c>
      <c r="Q36" s="28" t="s">
        <v>54</v>
      </c>
      <c r="R36" s="30" t="n">
        <v>2</v>
      </c>
    </row>
    <row r="37" customFormat="false" ht="60" hidden="false" customHeight="true" outlineLevel="0" collapsed="false">
      <c r="A37" s="23" t="s">
        <v>166</v>
      </c>
      <c r="B37" s="34" t="s">
        <v>22</v>
      </c>
      <c r="C37" s="23" t="s">
        <v>167</v>
      </c>
      <c r="D37" s="25" t="s">
        <v>13</v>
      </c>
      <c r="E37" s="23" t="s">
        <v>44</v>
      </c>
      <c r="F37" s="26" t="s">
        <v>168</v>
      </c>
      <c r="G37" s="26" t="s">
        <v>169</v>
      </c>
      <c r="H37" s="26" t="s">
        <v>170</v>
      </c>
      <c r="I37" s="26" t="s">
        <v>171</v>
      </c>
      <c r="J37" s="26" t="s">
        <v>172</v>
      </c>
      <c r="K37" s="23" t="s">
        <v>50</v>
      </c>
      <c r="L37" s="23" t="s">
        <v>51</v>
      </c>
      <c r="M37" s="23" t="s">
        <v>52</v>
      </c>
      <c r="N37" s="23" t="s">
        <v>53</v>
      </c>
      <c r="O37" s="23" t="s">
        <v>52</v>
      </c>
      <c r="P37" s="23" t="s">
        <v>52</v>
      </c>
      <c r="Q37" s="23" t="s">
        <v>54</v>
      </c>
      <c r="R37" s="27" t="n">
        <v>3</v>
      </c>
    </row>
    <row r="38" customFormat="false" ht="60" hidden="false" customHeight="true" outlineLevel="0" collapsed="false">
      <c r="A38" s="28" t="s">
        <v>173</v>
      </c>
      <c r="B38" s="34" t="s">
        <v>22</v>
      </c>
      <c r="C38" s="28" t="s">
        <v>174</v>
      </c>
      <c r="D38" s="25" t="s">
        <v>13</v>
      </c>
      <c r="E38" s="28" t="s">
        <v>44</v>
      </c>
      <c r="F38" s="29" t="s">
        <v>175</v>
      </c>
      <c r="G38" s="29" t="s">
        <v>169</v>
      </c>
      <c r="H38" s="29" t="s">
        <v>170</v>
      </c>
      <c r="I38" s="29" t="s">
        <v>171</v>
      </c>
      <c r="J38" s="29" t="s">
        <v>172</v>
      </c>
      <c r="K38" s="28" t="s">
        <v>50</v>
      </c>
      <c r="L38" s="28" t="s">
        <v>51</v>
      </c>
      <c r="M38" s="28" t="s">
        <v>52</v>
      </c>
      <c r="N38" s="28" t="s">
        <v>53</v>
      </c>
      <c r="O38" s="28" t="s">
        <v>52</v>
      </c>
      <c r="P38" s="28" t="s">
        <v>52</v>
      </c>
      <c r="Q38" s="28" t="s">
        <v>54</v>
      </c>
      <c r="R38" s="30" t="n">
        <v>1</v>
      </c>
    </row>
    <row r="39" customFormat="false" ht="60" hidden="false" customHeight="true" outlineLevel="0" collapsed="false">
      <c r="A39" s="23" t="s">
        <v>176</v>
      </c>
      <c r="B39" s="34" t="s">
        <v>22</v>
      </c>
      <c r="C39" s="23" t="s">
        <v>177</v>
      </c>
      <c r="D39" s="25" t="s">
        <v>13</v>
      </c>
      <c r="E39" s="23" t="s">
        <v>44</v>
      </c>
      <c r="F39" s="26" t="s">
        <v>178</v>
      </c>
      <c r="G39" s="26" t="s">
        <v>169</v>
      </c>
      <c r="H39" s="26" t="s">
        <v>170</v>
      </c>
      <c r="I39" s="26" t="s">
        <v>171</v>
      </c>
      <c r="J39" s="26" t="s">
        <v>172</v>
      </c>
      <c r="K39" s="23" t="s">
        <v>50</v>
      </c>
      <c r="L39" s="23" t="s">
        <v>51</v>
      </c>
      <c r="M39" s="23" t="s">
        <v>52</v>
      </c>
      <c r="N39" s="23" t="s">
        <v>53</v>
      </c>
      <c r="O39" s="23" t="s">
        <v>52</v>
      </c>
      <c r="P39" s="23" t="s">
        <v>52</v>
      </c>
      <c r="Q39" s="23" t="s">
        <v>54</v>
      </c>
      <c r="R39" s="27" t="n">
        <v>2</v>
      </c>
    </row>
    <row r="40" customFormat="false" ht="60" hidden="false" customHeight="true" outlineLevel="0" collapsed="false">
      <c r="A40" s="28" t="s">
        <v>179</v>
      </c>
      <c r="B40" s="34" t="s">
        <v>22</v>
      </c>
      <c r="C40" s="28" t="s">
        <v>180</v>
      </c>
      <c r="D40" s="25" t="s">
        <v>13</v>
      </c>
      <c r="E40" s="28" t="s">
        <v>44</v>
      </c>
      <c r="F40" s="29" t="s">
        <v>181</v>
      </c>
      <c r="G40" s="29" t="s">
        <v>169</v>
      </c>
      <c r="H40" s="29" t="s">
        <v>170</v>
      </c>
      <c r="I40" s="29" t="s">
        <v>171</v>
      </c>
      <c r="J40" s="29" t="s">
        <v>172</v>
      </c>
      <c r="K40" s="28" t="s">
        <v>50</v>
      </c>
      <c r="L40" s="28" t="s">
        <v>51</v>
      </c>
      <c r="M40" s="28" t="s">
        <v>52</v>
      </c>
      <c r="N40" s="28" t="s">
        <v>53</v>
      </c>
      <c r="O40" s="28" t="s">
        <v>52</v>
      </c>
      <c r="P40" s="28" t="s">
        <v>52</v>
      </c>
      <c r="Q40" s="28" t="s">
        <v>54</v>
      </c>
      <c r="R40" s="30" t="n">
        <v>3</v>
      </c>
    </row>
    <row r="41" customFormat="false" ht="60" hidden="false" customHeight="true" outlineLevel="0" collapsed="false">
      <c r="A41" s="23" t="s">
        <v>182</v>
      </c>
      <c r="B41" s="34" t="s">
        <v>22</v>
      </c>
      <c r="C41" s="23" t="s">
        <v>183</v>
      </c>
      <c r="D41" s="25" t="s">
        <v>13</v>
      </c>
      <c r="E41" s="23" t="s">
        <v>44</v>
      </c>
      <c r="F41" s="26" t="s">
        <v>184</v>
      </c>
      <c r="G41" s="26" t="s">
        <v>169</v>
      </c>
      <c r="H41" s="26" t="s">
        <v>170</v>
      </c>
      <c r="I41" s="26" t="s">
        <v>171</v>
      </c>
      <c r="J41" s="26" t="s">
        <v>172</v>
      </c>
      <c r="K41" s="23" t="s">
        <v>50</v>
      </c>
      <c r="L41" s="23" t="s">
        <v>51</v>
      </c>
      <c r="M41" s="23" t="s">
        <v>52</v>
      </c>
      <c r="N41" s="23" t="s">
        <v>53</v>
      </c>
      <c r="O41" s="23" t="s">
        <v>52</v>
      </c>
      <c r="P41" s="23" t="s">
        <v>52</v>
      </c>
      <c r="Q41" s="23" t="s">
        <v>54</v>
      </c>
      <c r="R41" s="27" t="n">
        <v>1</v>
      </c>
    </row>
    <row r="42" customFormat="false" ht="60" hidden="false" customHeight="true" outlineLevel="0" collapsed="false">
      <c r="A42" s="28" t="s">
        <v>185</v>
      </c>
      <c r="B42" s="34" t="s">
        <v>22</v>
      </c>
      <c r="C42" s="28" t="s">
        <v>186</v>
      </c>
      <c r="D42" s="25" t="s">
        <v>13</v>
      </c>
      <c r="E42" s="28" t="s">
        <v>44</v>
      </c>
      <c r="F42" s="29" t="s">
        <v>187</v>
      </c>
      <c r="G42" s="29" t="s">
        <v>169</v>
      </c>
      <c r="H42" s="29" t="s">
        <v>170</v>
      </c>
      <c r="I42" s="29" t="s">
        <v>171</v>
      </c>
      <c r="J42" s="29" t="s">
        <v>172</v>
      </c>
      <c r="K42" s="28" t="s">
        <v>50</v>
      </c>
      <c r="L42" s="28" t="s">
        <v>51</v>
      </c>
      <c r="M42" s="28" t="s">
        <v>52</v>
      </c>
      <c r="N42" s="28" t="s">
        <v>53</v>
      </c>
      <c r="O42" s="28" t="s">
        <v>52</v>
      </c>
      <c r="P42" s="28" t="s">
        <v>52</v>
      </c>
      <c r="Q42" s="28" t="s">
        <v>54</v>
      </c>
      <c r="R42" s="30" t="n">
        <v>2</v>
      </c>
    </row>
    <row r="43" customFormat="false" ht="60" hidden="false" customHeight="true" outlineLevel="0" collapsed="false">
      <c r="A43" s="23" t="s">
        <v>188</v>
      </c>
      <c r="B43" s="34" t="s">
        <v>22</v>
      </c>
      <c r="C43" s="23" t="s">
        <v>189</v>
      </c>
      <c r="D43" s="25" t="s">
        <v>13</v>
      </c>
      <c r="E43" s="23" t="s">
        <v>44</v>
      </c>
      <c r="F43" s="26" t="s">
        <v>190</v>
      </c>
      <c r="G43" s="26" t="s">
        <v>169</v>
      </c>
      <c r="H43" s="26" t="s">
        <v>170</v>
      </c>
      <c r="I43" s="26" t="s">
        <v>171</v>
      </c>
      <c r="J43" s="26" t="s">
        <v>172</v>
      </c>
      <c r="K43" s="23" t="s">
        <v>50</v>
      </c>
      <c r="L43" s="23" t="s">
        <v>51</v>
      </c>
      <c r="M43" s="23" t="s">
        <v>52</v>
      </c>
      <c r="N43" s="23" t="s">
        <v>53</v>
      </c>
      <c r="O43" s="23" t="s">
        <v>52</v>
      </c>
      <c r="P43" s="23" t="s">
        <v>52</v>
      </c>
      <c r="Q43" s="23" t="s">
        <v>54</v>
      </c>
      <c r="R43" s="27" t="n">
        <v>3</v>
      </c>
    </row>
    <row r="44" customFormat="false" ht="60" hidden="false" customHeight="true" outlineLevel="0" collapsed="false">
      <c r="A44" s="28" t="s">
        <v>191</v>
      </c>
      <c r="B44" s="34" t="s">
        <v>22</v>
      </c>
      <c r="C44" s="28" t="s">
        <v>192</v>
      </c>
      <c r="D44" s="25" t="s">
        <v>13</v>
      </c>
      <c r="E44" s="28" t="s">
        <v>44</v>
      </c>
      <c r="F44" s="29" t="s">
        <v>193</v>
      </c>
      <c r="G44" s="29" t="s">
        <v>169</v>
      </c>
      <c r="H44" s="29" t="s">
        <v>170</v>
      </c>
      <c r="I44" s="29" t="s">
        <v>171</v>
      </c>
      <c r="J44" s="29" t="s">
        <v>172</v>
      </c>
      <c r="K44" s="28" t="s">
        <v>50</v>
      </c>
      <c r="L44" s="28" t="s">
        <v>51</v>
      </c>
      <c r="M44" s="28" t="s">
        <v>52</v>
      </c>
      <c r="N44" s="28" t="s">
        <v>53</v>
      </c>
      <c r="O44" s="28" t="s">
        <v>52</v>
      </c>
      <c r="P44" s="28" t="s">
        <v>52</v>
      </c>
      <c r="Q44" s="28" t="s">
        <v>54</v>
      </c>
      <c r="R44" s="30" t="n">
        <v>1</v>
      </c>
    </row>
    <row r="45" customFormat="false" ht="60" hidden="false" customHeight="true" outlineLevel="0" collapsed="false">
      <c r="A45" s="23" t="s">
        <v>194</v>
      </c>
      <c r="B45" s="35" t="s">
        <v>23</v>
      </c>
      <c r="C45" s="23" t="s">
        <v>195</v>
      </c>
      <c r="D45" s="25" t="s">
        <v>13</v>
      </c>
      <c r="E45" s="23" t="s">
        <v>44</v>
      </c>
      <c r="F45" s="26" t="s">
        <v>196</v>
      </c>
      <c r="G45" s="26" t="s">
        <v>197</v>
      </c>
      <c r="H45" s="26" t="s">
        <v>198</v>
      </c>
      <c r="I45" s="26" t="s">
        <v>199</v>
      </c>
      <c r="J45" s="26" t="s">
        <v>82</v>
      </c>
      <c r="K45" s="23" t="s">
        <v>50</v>
      </c>
      <c r="L45" s="23" t="s">
        <v>51</v>
      </c>
      <c r="M45" s="23" t="s">
        <v>52</v>
      </c>
      <c r="N45" s="23" t="s">
        <v>53</v>
      </c>
      <c r="O45" s="23" t="s">
        <v>52</v>
      </c>
      <c r="P45" s="23" t="s">
        <v>52</v>
      </c>
      <c r="Q45" s="23" t="s">
        <v>54</v>
      </c>
      <c r="R45" s="27" t="n">
        <v>2</v>
      </c>
    </row>
    <row r="46" customFormat="false" ht="60" hidden="false" customHeight="true" outlineLevel="0" collapsed="false">
      <c r="A46" s="28" t="s">
        <v>200</v>
      </c>
      <c r="B46" s="35" t="s">
        <v>23</v>
      </c>
      <c r="C46" s="28" t="s">
        <v>201</v>
      </c>
      <c r="D46" s="25" t="s">
        <v>13</v>
      </c>
      <c r="E46" s="28" t="s">
        <v>44</v>
      </c>
      <c r="F46" s="29" t="s">
        <v>202</v>
      </c>
      <c r="G46" s="29" t="s">
        <v>197</v>
      </c>
      <c r="H46" s="29" t="s">
        <v>198</v>
      </c>
      <c r="I46" s="29" t="s">
        <v>199</v>
      </c>
      <c r="J46" s="29" t="s">
        <v>82</v>
      </c>
      <c r="K46" s="28" t="s">
        <v>50</v>
      </c>
      <c r="L46" s="28" t="s">
        <v>51</v>
      </c>
      <c r="M46" s="28" t="s">
        <v>52</v>
      </c>
      <c r="N46" s="28" t="s">
        <v>53</v>
      </c>
      <c r="O46" s="28" t="s">
        <v>52</v>
      </c>
      <c r="P46" s="28" t="s">
        <v>52</v>
      </c>
      <c r="Q46" s="28" t="s">
        <v>54</v>
      </c>
      <c r="R46" s="30" t="n">
        <v>3</v>
      </c>
    </row>
    <row r="47" customFormat="false" ht="60" hidden="false" customHeight="true" outlineLevel="0" collapsed="false">
      <c r="A47" s="23" t="s">
        <v>203</v>
      </c>
      <c r="B47" s="35" t="s">
        <v>23</v>
      </c>
      <c r="C47" s="23" t="s">
        <v>204</v>
      </c>
      <c r="D47" s="25" t="s">
        <v>13</v>
      </c>
      <c r="E47" s="23" t="s">
        <v>44</v>
      </c>
      <c r="F47" s="26" t="s">
        <v>205</v>
      </c>
      <c r="G47" s="26" t="s">
        <v>197</v>
      </c>
      <c r="H47" s="26" t="s">
        <v>198</v>
      </c>
      <c r="I47" s="26" t="s">
        <v>199</v>
      </c>
      <c r="J47" s="26" t="s">
        <v>82</v>
      </c>
      <c r="K47" s="23" t="s">
        <v>50</v>
      </c>
      <c r="L47" s="23" t="s">
        <v>51</v>
      </c>
      <c r="M47" s="23" t="s">
        <v>52</v>
      </c>
      <c r="N47" s="23" t="s">
        <v>53</v>
      </c>
      <c r="O47" s="23" t="s">
        <v>52</v>
      </c>
      <c r="P47" s="23" t="s">
        <v>52</v>
      </c>
      <c r="Q47" s="23" t="s">
        <v>54</v>
      </c>
      <c r="R47" s="27" t="n">
        <v>1</v>
      </c>
    </row>
    <row r="48" customFormat="false" ht="60" hidden="false" customHeight="true" outlineLevel="0" collapsed="false">
      <c r="A48" s="28" t="s">
        <v>206</v>
      </c>
      <c r="B48" s="35" t="s">
        <v>23</v>
      </c>
      <c r="C48" s="28" t="s">
        <v>207</v>
      </c>
      <c r="D48" s="25" t="s">
        <v>13</v>
      </c>
      <c r="E48" s="28" t="s">
        <v>44</v>
      </c>
      <c r="F48" s="29" t="s">
        <v>208</v>
      </c>
      <c r="G48" s="29" t="s">
        <v>197</v>
      </c>
      <c r="H48" s="29" t="s">
        <v>198</v>
      </c>
      <c r="I48" s="29" t="s">
        <v>199</v>
      </c>
      <c r="J48" s="29" t="s">
        <v>82</v>
      </c>
      <c r="K48" s="28" t="s">
        <v>50</v>
      </c>
      <c r="L48" s="28" t="s">
        <v>51</v>
      </c>
      <c r="M48" s="28" t="s">
        <v>52</v>
      </c>
      <c r="N48" s="28" t="s">
        <v>53</v>
      </c>
      <c r="O48" s="28" t="s">
        <v>52</v>
      </c>
      <c r="P48" s="28" t="s">
        <v>52</v>
      </c>
      <c r="Q48" s="28" t="s">
        <v>54</v>
      </c>
      <c r="R48" s="30" t="n">
        <v>2</v>
      </c>
    </row>
    <row r="49" customFormat="false" ht="60" hidden="false" customHeight="true" outlineLevel="0" collapsed="false">
      <c r="A49" s="23" t="s">
        <v>209</v>
      </c>
      <c r="B49" s="35" t="s">
        <v>23</v>
      </c>
      <c r="C49" s="23" t="s">
        <v>210</v>
      </c>
      <c r="D49" s="25" t="s">
        <v>13</v>
      </c>
      <c r="E49" s="23" t="s">
        <v>44</v>
      </c>
      <c r="F49" s="26" t="s">
        <v>211</v>
      </c>
      <c r="G49" s="26" t="s">
        <v>197</v>
      </c>
      <c r="H49" s="26" t="s">
        <v>198</v>
      </c>
      <c r="I49" s="26" t="s">
        <v>199</v>
      </c>
      <c r="J49" s="26" t="s">
        <v>82</v>
      </c>
      <c r="K49" s="23" t="s">
        <v>50</v>
      </c>
      <c r="L49" s="23" t="s">
        <v>51</v>
      </c>
      <c r="M49" s="23" t="s">
        <v>52</v>
      </c>
      <c r="N49" s="23" t="s">
        <v>53</v>
      </c>
      <c r="O49" s="23" t="s">
        <v>52</v>
      </c>
      <c r="P49" s="23" t="s">
        <v>52</v>
      </c>
      <c r="Q49" s="23" t="s">
        <v>54</v>
      </c>
      <c r="R49" s="27" t="n">
        <v>3</v>
      </c>
    </row>
    <row r="50" customFormat="false" ht="60" hidden="false" customHeight="true" outlineLevel="0" collapsed="false">
      <c r="A50" s="28" t="s">
        <v>212</v>
      </c>
      <c r="B50" s="35" t="s">
        <v>23</v>
      </c>
      <c r="C50" s="28" t="s">
        <v>213</v>
      </c>
      <c r="D50" s="25" t="s">
        <v>13</v>
      </c>
      <c r="E50" s="28" t="s">
        <v>44</v>
      </c>
      <c r="F50" s="29" t="s">
        <v>214</v>
      </c>
      <c r="G50" s="29" t="s">
        <v>197</v>
      </c>
      <c r="H50" s="29" t="s">
        <v>198</v>
      </c>
      <c r="I50" s="29" t="s">
        <v>199</v>
      </c>
      <c r="J50" s="29" t="s">
        <v>82</v>
      </c>
      <c r="K50" s="28" t="s">
        <v>50</v>
      </c>
      <c r="L50" s="28" t="s">
        <v>51</v>
      </c>
      <c r="M50" s="28" t="s">
        <v>52</v>
      </c>
      <c r="N50" s="28" t="s">
        <v>53</v>
      </c>
      <c r="O50" s="28" t="s">
        <v>52</v>
      </c>
      <c r="P50" s="28" t="s">
        <v>52</v>
      </c>
      <c r="Q50" s="28" t="s">
        <v>54</v>
      </c>
      <c r="R50" s="30" t="n">
        <v>1</v>
      </c>
    </row>
    <row r="51" customFormat="false" ht="60" hidden="false" customHeight="true" outlineLevel="0" collapsed="false">
      <c r="A51" s="23" t="s">
        <v>215</v>
      </c>
      <c r="B51" s="35" t="s">
        <v>23</v>
      </c>
      <c r="C51" s="23" t="s">
        <v>216</v>
      </c>
      <c r="D51" s="25" t="s">
        <v>13</v>
      </c>
      <c r="E51" s="23" t="s">
        <v>44</v>
      </c>
      <c r="F51" s="26" t="s">
        <v>217</v>
      </c>
      <c r="G51" s="26" t="s">
        <v>197</v>
      </c>
      <c r="H51" s="26" t="s">
        <v>198</v>
      </c>
      <c r="I51" s="26" t="s">
        <v>199</v>
      </c>
      <c r="J51" s="26" t="s">
        <v>82</v>
      </c>
      <c r="K51" s="23" t="s">
        <v>50</v>
      </c>
      <c r="L51" s="23" t="s">
        <v>51</v>
      </c>
      <c r="M51" s="23" t="s">
        <v>52</v>
      </c>
      <c r="N51" s="23" t="s">
        <v>53</v>
      </c>
      <c r="O51" s="23" t="s">
        <v>52</v>
      </c>
      <c r="P51" s="23" t="s">
        <v>52</v>
      </c>
      <c r="Q51" s="23" t="s">
        <v>54</v>
      </c>
      <c r="R51" s="27" t="n">
        <v>2</v>
      </c>
    </row>
    <row r="52" customFormat="false" ht="60" hidden="false" customHeight="true" outlineLevel="0" collapsed="false">
      <c r="A52" s="28" t="s">
        <v>218</v>
      </c>
      <c r="B52" s="35" t="s">
        <v>23</v>
      </c>
      <c r="C52" s="28" t="s">
        <v>219</v>
      </c>
      <c r="D52" s="25" t="s">
        <v>13</v>
      </c>
      <c r="E52" s="28" t="s">
        <v>44</v>
      </c>
      <c r="F52" s="29" t="s">
        <v>220</v>
      </c>
      <c r="G52" s="29" t="s">
        <v>197</v>
      </c>
      <c r="H52" s="29" t="s">
        <v>198</v>
      </c>
      <c r="I52" s="29" t="s">
        <v>199</v>
      </c>
      <c r="J52" s="29" t="s">
        <v>82</v>
      </c>
      <c r="K52" s="28" t="s">
        <v>50</v>
      </c>
      <c r="L52" s="28" t="s">
        <v>51</v>
      </c>
      <c r="M52" s="28" t="s">
        <v>52</v>
      </c>
      <c r="N52" s="28" t="s">
        <v>53</v>
      </c>
      <c r="O52" s="28" t="s">
        <v>52</v>
      </c>
      <c r="P52" s="28" t="s">
        <v>52</v>
      </c>
      <c r="Q52" s="28" t="s">
        <v>54</v>
      </c>
      <c r="R52" s="30" t="n">
        <v>3</v>
      </c>
    </row>
  </sheetData>
  <mergeCells count="1">
    <mergeCell ref="A1:R1"/>
  </mergeCells>
  <conditionalFormatting sqref="R3:R52">
    <cfRule type="expression" priority="2" aboveAverage="0" equalAverage="0" bottom="0" percent="0" rank="0" text="" dxfId="18">
      <formula>R3&gt;=8</formula>
    </cfRule>
    <cfRule type="expression" priority="3" aboveAverage="0" equalAverage="0" bottom="0" percent="0" rank="0" text="" dxfId="19">
      <formula>R3&lt;=3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2" min="11" style="0" width="16"/>
    <col collapsed="false" customWidth="true" hidden="false" outlineLevel="0" max="13" min="13" style="0" width="13"/>
    <col collapsed="false" customWidth="true" hidden="false" outlineLevel="0" max="16" min="14" style="0" width="14"/>
    <col collapsed="false" customWidth="true" hidden="false" outlineLevel="0" max="17" min="17" style="0" width="20"/>
    <col collapsed="false" customWidth="true" hidden="false" outlineLevel="0" max="18" min="18" style="0" width="16"/>
  </cols>
  <sheetData>
    <row r="1" customFormat="false" ht="25.5" hidden="false" customHeight="true" outlineLevel="0" collapsed="false">
      <c r="A1" s="21" t="s">
        <v>221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33.75" hidden="false" customHeight="true" outlineLevel="0" collapsed="false">
      <c r="A2" s="22" t="s">
        <v>26</v>
      </c>
      <c r="B2" s="22" t="s">
        <v>12</v>
      </c>
      <c r="C2" s="22" t="s">
        <v>27</v>
      </c>
      <c r="D2" s="22" t="s">
        <v>10</v>
      </c>
      <c r="E2" s="22" t="s">
        <v>28</v>
      </c>
      <c r="F2" s="22" t="s">
        <v>29</v>
      </c>
      <c r="G2" s="22" t="s">
        <v>30</v>
      </c>
      <c r="H2" s="22" t="s">
        <v>31</v>
      </c>
      <c r="I2" s="22" t="s">
        <v>32</v>
      </c>
      <c r="J2" s="22" t="s">
        <v>33</v>
      </c>
      <c r="K2" s="22" t="s">
        <v>34</v>
      </c>
      <c r="L2" s="22" t="s">
        <v>35</v>
      </c>
      <c r="M2" s="22" t="s">
        <v>36</v>
      </c>
      <c r="N2" s="22" t="s">
        <v>37</v>
      </c>
      <c r="O2" s="22" t="s">
        <v>38</v>
      </c>
      <c r="P2" s="22" t="s">
        <v>39</v>
      </c>
      <c r="Q2" s="22" t="s">
        <v>40</v>
      </c>
      <c r="R2" s="22" t="s">
        <v>41</v>
      </c>
    </row>
    <row r="3" customFormat="false" ht="60" hidden="false" customHeight="true" outlineLevel="0" collapsed="false">
      <c r="A3" s="23" t="s">
        <v>222</v>
      </c>
      <c r="B3" s="24" t="s">
        <v>14</v>
      </c>
      <c r="C3" s="23" t="s">
        <v>223</v>
      </c>
      <c r="D3" s="36" t="s">
        <v>15</v>
      </c>
      <c r="E3" s="23" t="s">
        <v>224</v>
      </c>
      <c r="F3" s="26" t="s">
        <v>225</v>
      </c>
      <c r="G3" s="26" t="s">
        <v>226</v>
      </c>
      <c r="H3" s="26" t="s">
        <v>227</v>
      </c>
      <c r="I3" s="26" t="s">
        <v>48</v>
      </c>
      <c r="J3" s="26" t="s">
        <v>228</v>
      </c>
      <c r="K3" s="23" t="s">
        <v>229</v>
      </c>
      <c r="L3" s="23" t="s">
        <v>230</v>
      </c>
      <c r="M3" s="23" t="s">
        <v>53</v>
      </c>
      <c r="N3" s="23" t="s">
        <v>231</v>
      </c>
      <c r="O3" s="23" t="s">
        <v>232</v>
      </c>
      <c r="P3" s="23" t="s">
        <v>53</v>
      </c>
      <c r="Q3" s="23" t="s">
        <v>233</v>
      </c>
      <c r="R3" s="27" t="n">
        <v>4</v>
      </c>
    </row>
    <row r="4" customFormat="false" ht="60" hidden="false" customHeight="true" outlineLevel="0" collapsed="false">
      <c r="A4" s="28" t="s">
        <v>234</v>
      </c>
      <c r="B4" s="24" t="s">
        <v>14</v>
      </c>
      <c r="C4" s="28" t="s">
        <v>235</v>
      </c>
      <c r="D4" s="36" t="s">
        <v>15</v>
      </c>
      <c r="E4" s="28" t="s">
        <v>224</v>
      </c>
      <c r="F4" s="29" t="s">
        <v>236</v>
      </c>
      <c r="G4" s="29" t="s">
        <v>226</v>
      </c>
      <c r="H4" s="29" t="s">
        <v>227</v>
      </c>
      <c r="I4" s="29" t="s">
        <v>48</v>
      </c>
      <c r="J4" s="29" t="s">
        <v>228</v>
      </c>
      <c r="K4" s="28" t="s">
        <v>229</v>
      </c>
      <c r="L4" s="28" t="s">
        <v>230</v>
      </c>
      <c r="M4" s="28" t="s">
        <v>53</v>
      </c>
      <c r="N4" s="28" t="s">
        <v>231</v>
      </c>
      <c r="O4" s="28" t="s">
        <v>232</v>
      </c>
      <c r="P4" s="28" t="s">
        <v>53</v>
      </c>
      <c r="Q4" s="28" t="s">
        <v>233</v>
      </c>
      <c r="R4" s="30" t="n">
        <v>5</v>
      </c>
    </row>
    <row r="5" customFormat="false" ht="60" hidden="false" customHeight="true" outlineLevel="0" collapsed="false">
      <c r="A5" s="23" t="s">
        <v>237</v>
      </c>
      <c r="B5" s="24" t="s">
        <v>14</v>
      </c>
      <c r="C5" s="23" t="s">
        <v>238</v>
      </c>
      <c r="D5" s="36" t="s">
        <v>15</v>
      </c>
      <c r="E5" s="23" t="s">
        <v>224</v>
      </c>
      <c r="F5" s="26" t="s">
        <v>239</v>
      </c>
      <c r="G5" s="26" t="s">
        <v>226</v>
      </c>
      <c r="H5" s="26" t="s">
        <v>227</v>
      </c>
      <c r="I5" s="26" t="s">
        <v>48</v>
      </c>
      <c r="J5" s="26" t="s">
        <v>228</v>
      </c>
      <c r="K5" s="23" t="s">
        <v>229</v>
      </c>
      <c r="L5" s="23" t="s">
        <v>230</v>
      </c>
      <c r="M5" s="23" t="s">
        <v>53</v>
      </c>
      <c r="N5" s="23" t="s">
        <v>231</v>
      </c>
      <c r="O5" s="23" t="s">
        <v>232</v>
      </c>
      <c r="P5" s="23" t="s">
        <v>53</v>
      </c>
      <c r="Q5" s="23" t="s">
        <v>233</v>
      </c>
      <c r="R5" s="27" t="n">
        <v>6</v>
      </c>
    </row>
    <row r="6" customFormat="false" ht="60" hidden="false" customHeight="true" outlineLevel="0" collapsed="false">
      <c r="A6" s="28" t="s">
        <v>240</v>
      </c>
      <c r="B6" s="24" t="s">
        <v>14</v>
      </c>
      <c r="C6" s="28" t="s">
        <v>241</v>
      </c>
      <c r="D6" s="36" t="s">
        <v>15</v>
      </c>
      <c r="E6" s="28" t="s">
        <v>224</v>
      </c>
      <c r="F6" s="29" t="s">
        <v>242</v>
      </c>
      <c r="G6" s="29" t="s">
        <v>226</v>
      </c>
      <c r="H6" s="29" t="s">
        <v>227</v>
      </c>
      <c r="I6" s="29" t="s">
        <v>48</v>
      </c>
      <c r="J6" s="29" t="s">
        <v>228</v>
      </c>
      <c r="K6" s="28" t="s">
        <v>229</v>
      </c>
      <c r="L6" s="28" t="s">
        <v>230</v>
      </c>
      <c r="M6" s="28" t="s">
        <v>53</v>
      </c>
      <c r="N6" s="28" t="s">
        <v>231</v>
      </c>
      <c r="O6" s="28" t="s">
        <v>232</v>
      </c>
      <c r="P6" s="28" t="s">
        <v>53</v>
      </c>
      <c r="Q6" s="28" t="s">
        <v>233</v>
      </c>
      <c r="R6" s="30" t="n">
        <v>4</v>
      </c>
    </row>
    <row r="7" customFormat="false" ht="60" hidden="false" customHeight="true" outlineLevel="0" collapsed="false">
      <c r="A7" s="23" t="s">
        <v>243</v>
      </c>
      <c r="B7" s="24" t="s">
        <v>14</v>
      </c>
      <c r="C7" s="23" t="s">
        <v>244</v>
      </c>
      <c r="D7" s="36" t="s">
        <v>15</v>
      </c>
      <c r="E7" s="23" t="s">
        <v>224</v>
      </c>
      <c r="F7" s="26" t="s">
        <v>245</v>
      </c>
      <c r="G7" s="26" t="s">
        <v>226</v>
      </c>
      <c r="H7" s="26" t="s">
        <v>227</v>
      </c>
      <c r="I7" s="26" t="s">
        <v>48</v>
      </c>
      <c r="J7" s="26" t="s">
        <v>228</v>
      </c>
      <c r="K7" s="23" t="s">
        <v>229</v>
      </c>
      <c r="L7" s="23" t="s">
        <v>230</v>
      </c>
      <c r="M7" s="23" t="s">
        <v>53</v>
      </c>
      <c r="N7" s="23" t="s">
        <v>231</v>
      </c>
      <c r="O7" s="23" t="s">
        <v>232</v>
      </c>
      <c r="P7" s="23" t="s">
        <v>53</v>
      </c>
      <c r="Q7" s="23" t="s">
        <v>233</v>
      </c>
      <c r="R7" s="27" t="n">
        <v>5</v>
      </c>
    </row>
    <row r="8" customFormat="false" ht="60" hidden="false" customHeight="true" outlineLevel="0" collapsed="false">
      <c r="A8" s="28" t="s">
        <v>246</v>
      </c>
      <c r="B8" s="24" t="s">
        <v>14</v>
      </c>
      <c r="C8" s="28" t="s">
        <v>247</v>
      </c>
      <c r="D8" s="36" t="s">
        <v>15</v>
      </c>
      <c r="E8" s="28" t="s">
        <v>224</v>
      </c>
      <c r="F8" s="29" t="s">
        <v>248</v>
      </c>
      <c r="G8" s="29" t="s">
        <v>226</v>
      </c>
      <c r="H8" s="29" t="s">
        <v>227</v>
      </c>
      <c r="I8" s="29" t="s">
        <v>48</v>
      </c>
      <c r="J8" s="29" t="s">
        <v>228</v>
      </c>
      <c r="K8" s="28" t="s">
        <v>229</v>
      </c>
      <c r="L8" s="28" t="s">
        <v>230</v>
      </c>
      <c r="M8" s="28" t="s">
        <v>53</v>
      </c>
      <c r="N8" s="28" t="s">
        <v>231</v>
      </c>
      <c r="O8" s="28" t="s">
        <v>232</v>
      </c>
      <c r="P8" s="28" t="s">
        <v>53</v>
      </c>
      <c r="Q8" s="28" t="s">
        <v>233</v>
      </c>
      <c r="R8" s="30" t="n">
        <v>6</v>
      </c>
    </row>
    <row r="9" customFormat="false" ht="60" hidden="false" customHeight="true" outlineLevel="0" collapsed="false">
      <c r="A9" s="23" t="s">
        <v>249</v>
      </c>
      <c r="B9" s="24" t="s">
        <v>14</v>
      </c>
      <c r="C9" s="23" t="s">
        <v>250</v>
      </c>
      <c r="D9" s="36" t="s">
        <v>15</v>
      </c>
      <c r="E9" s="23" t="s">
        <v>224</v>
      </c>
      <c r="F9" s="26" t="s">
        <v>251</v>
      </c>
      <c r="G9" s="26" t="s">
        <v>226</v>
      </c>
      <c r="H9" s="26" t="s">
        <v>227</v>
      </c>
      <c r="I9" s="26" t="s">
        <v>48</v>
      </c>
      <c r="J9" s="26" t="s">
        <v>228</v>
      </c>
      <c r="K9" s="23" t="s">
        <v>229</v>
      </c>
      <c r="L9" s="23" t="s">
        <v>230</v>
      </c>
      <c r="M9" s="23" t="s">
        <v>53</v>
      </c>
      <c r="N9" s="23" t="s">
        <v>231</v>
      </c>
      <c r="O9" s="23" t="s">
        <v>232</v>
      </c>
      <c r="P9" s="23" t="s">
        <v>53</v>
      </c>
      <c r="Q9" s="23" t="s">
        <v>233</v>
      </c>
      <c r="R9" s="27" t="n">
        <v>4</v>
      </c>
    </row>
    <row r="10" customFormat="false" ht="60" hidden="false" customHeight="true" outlineLevel="0" collapsed="false">
      <c r="A10" s="28" t="s">
        <v>252</v>
      </c>
      <c r="B10" s="24" t="s">
        <v>14</v>
      </c>
      <c r="C10" s="28" t="s">
        <v>253</v>
      </c>
      <c r="D10" s="36" t="s">
        <v>15</v>
      </c>
      <c r="E10" s="28" t="s">
        <v>224</v>
      </c>
      <c r="F10" s="29" t="s">
        <v>254</v>
      </c>
      <c r="G10" s="29" t="s">
        <v>226</v>
      </c>
      <c r="H10" s="29" t="s">
        <v>227</v>
      </c>
      <c r="I10" s="29" t="s">
        <v>48</v>
      </c>
      <c r="J10" s="29" t="s">
        <v>228</v>
      </c>
      <c r="K10" s="28" t="s">
        <v>229</v>
      </c>
      <c r="L10" s="28" t="s">
        <v>230</v>
      </c>
      <c r="M10" s="28" t="s">
        <v>53</v>
      </c>
      <c r="N10" s="28" t="s">
        <v>231</v>
      </c>
      <c r="O10" s="28" t="s">
        <v>232</v>
      </c>
      <c r="P10" s="28" t="s">
        <v>53</v>
      </c>
      <c r="Q10" s="28" t="s">
        <v>233</v>
      </c>
      <c r="R10" s="30" t="n">
        <v>5</v>
      </c>
    </row>
    <row r="11" customFormat="false" ht="60" hidden="false" customHeight="true" outlineLevel="0" collapsed="false">
      <c r="A11" s="23" t="s">
        <v>255</v>
      </c>
      <c r="B11" s="31" t="s">
        <v>16</v>
      </c>
      <c r="C11" s="23" t="s">
        <v>256</v>
      </c>
      <c r="D11" s="36" t="s">
        <v>15</v>
      </c>
      <c r="E11" s="23" t="s">
        <v>224</v>
      </c>
      <c r="F11" s="26" t="s">
        <v>257</v>
      </c>
      <c r="G11" s="26" t="s">
        <v>258</v>
      </c>
      <c r="H11" s="26" t="s">
        <v>259</v>
      </c>
      <c r="I11" s="26" t="s">
        <v>260</v>
      </c>
      <c r="J11" s="26" t="s">
        <v>261</v>
      </c>
      <c r="K11" s="23" t="s">
        <v>229</v>
      </c>
      <c r="L11" s="23" t="s">
        <v>230</v>
      </c>
      <c r="M11" s="23" t="s">
        <v>53</v>
      </c>
      <c r="N11" s="23" t="s">
        <v>231</v>
      </c>
      <c r="O11" s="23" t="s">
        <v>232</v>
      </c>
      <c r="P11" s="23" t="s">
        <v>53</v>
      </c>
      <c r="Q11" s="23" t="s">
        <v>233</v>
      </c>
      <c r="R11" s="27" t="n">
        <v>6</v>
      </c>
    </row>
    <row r="12" customFormat="false" ht="60" hidden="false" customHeight="true" outlineLevel="0" collapsed="false">
      <c r="A12" s="28" t="s">
        <v>262</v>
      </c>
      <c r="B12" s="31" t="s">
        <v>16</v>
      </c>
      <c r="C12" s="28" t="s">
        <v>263</v>
      </c>
      <c r="D12" s="36" t="s">
        <v>15</v>
      </c>
      <c r="E12" s="28" t="s">
        <v>224</v>
      </c>
      <c r="F12" s="29" t="s">
        <v>264</v>
      </c>
      <c r="G12" s="29" t="s">
        <v>258</v>
      </c>
      <c r="H12" s="29" t="s">
        <v>259</v>
      </c>
      <c r="I12" s="29" t="s">
        <v>260</v>
      </c>
      <c r="J12" s="29" t="s">
        <v>261</v>
      </c>
      <c r="K12" s="28" t="s">
        <v>229</v>
      </c>
      <c r="L12" s="28" t="s">
        <v>230</v>
      </c>
      <c r="M12" s="28" t="s">
        <v>53</v>
      </c>
      <c r="N12" s="28" t="s">
        <v>231</v>
      </c>
      <c r="O12" s="28" t="s">
        <v>232</v>
      </c>
      <c r="P12" s="28" t="s">
        <v>53</v>
      </c>
      <c r="Q12" s="28" t="s">
        <v>233</v>
      </c>
      <c r="R12" s="30" t="n">
        <v>4</v>
      </c>
    </row>
    <row r="13" customFormat="false" ht="60" hidden="false" customHeight="true" outlineLevel="0" collapsed="false">
      <c r="A13" s="23" t="s">
        <v>265</v>
      </c>
      <c r="B13" s="31" t="s">
        <v>16</v>
      </c>
      <c r="C13" s="23" t="s">
        <v>266</v>
      </c>
      <c r="D13" s="36" t="s">
        <v>15</v>
      </c>
      <c r="E13" s="23" t="s">
        <v>224</v>
      </c>
      <c r="F13" s="26" t="s">
        <v>267</v>
      </c>
      <c r="G13" s="26" t="s">
        <v>258</v>
      </c>
      <c r="H13" s="26" t="s">
        <v>259</v>
      </c>
      <c r="I13" s="26" t="s">
        <v>260</v>
      </c>
      <c r="J13" s="26" t="s">
        <v>261</v>
      </c>
      <c r="K13" s="23" t="s">
        <v>229</v>
      </c>
      <c r="L13" s="23" t="s">
        <v>230</v>
      </c>
      <c r="M13" s="23" t="s">
        <v>53</v>
      </c>
      <c r="N13" s="23" t="s">
        <v>231</v>
      </c>
      <c r="O13" s="23" t="s">
        <v>232</v>
      </c>
      <c r="P13" s="23" t="s">
        <v>53</v>
      </c>
      <c r="Q13" s="23" t="s">
        <v>233</v>
      </c>
      <c r="R13" s="27" t="n">
        <v>5</v>
      </c>
    </row>
    <row r="14" customFormat="false" ht="60" hidden="false" customHeight="true" outlineLevel="0" collapsed="false">
      <c r="A14" s="28" t="s">
        <v>268</v>
      </c>
      <c r="B14" s="31" t="s">
        <v>16</v>
      </c>
      <c r="C14" s="28" t="s">
        <v>269</v>
      </c>
      <c r="D14" s="36" t="s">
        <v>15</v>
      </c>
      <c r="E14" s="28" t="s">
        <v>224</v>
      </c>
      <c r="F14" s="29" t="s">
        <v>270</v>
      </c>
      <c r="G14" s="29" t="s">
        <v>258</v>
      </c>
      <c r="H14" s="29" t="s">
        <v>259</v>
      </c>
      <c r="I14" s="29" t="s">
        <v>260</v>
      </c>
      <c r="J14" s="29" t="s">
        <v>261</v>
      </c>
      <c r="K14" s="28" t="s">
        <v>229</v>
      </c>
      <c r="L14" s="28" t="s">
        <v>230</v>
      </c>
      <c r="M14" s="28" t="s">
        <v>53</v>
      </c>
      <c r="N14" s="28" t="s">
        <v>231</v>
      </c>
      <c r="O14" s="28" t="s">
        <v>232</v>
      </c>
      <c r="P14" s="28" t="s">
        <v>53</v>
      </c>
      <c r="Q14" s="28" t="s">
        <v>233</v>
      </c>
      <c r="R14" s="30" t="n">
        <v>6</v>
      </c>
    </row>
    <row r="15" customFormat="false" ht="60" hidden="false" customHeight="true" outlineLevel="0" collapsed="false">
      <c r="A15" s="23" t="s">
        <v>271</v>
      </c>
      <c r="B15" s="31" t="s">
        <v>16</v>
      </c>
      <c r="C15" s="23" t="s">
        <v>272</v>
      </c>
      <c r="D15" s="36" t="s">
        <v>15</v>
      </c>
      <c r="E15" s="23" t="s">
        <v>224</v>
      </c>
      <c r="F15" s="26" t="s">
        <v>273</v>
      </c>
      <c r="G15" s="26" t="s">
        <v>258</v>
      </c>
      <c r="H15" s="26" t="s">
        <v>259</v>
      </c>
      <c r="I15" s="26" t="s">
        <v>260</v>
      </c>
      <c r="J15" s="26" t="s">
        <v>261</v>
      </c>
      <c r="K15" s="23" t="s">
        <v>229</v>
      </c>
      <c r="L15" s="23" t="s">
        <v>230</v>
      </c>
      <c r="M15" s="23" t="s">
        <v>53</v>
      </c>
      <c r="N15" s="23" t="s">
        <v>231</v>
      </c>
      <c r="O15" s="23" t="s">
        <v>232</v>
      </c>
      <c r="P15" s="23" t="s">
        <v>53</v>
      </c>
      <c r="Q15" s="23" t="s">
        <v>233</v>
      </c>
      <c r="R15" s="27" t="n">
        <v>4</v>
      </c>
    </row>
    <row r="16" customFormat="false" ht="60" hidden="false" customHeight="true" outlineLevel="0" collapsed="false">
      <c r="A16" s="28" t="s">
        <v>274</v>
      </c>
      <c r="B16" s="31" t="s">
        <v>16</v>
      </c>
      <c r="C16" s="28" t="s">
        <v>275</v>
      </c>
      <c r="D16" s="36" t="s">
        <v>15</v>
      </c>
      <c r="E16" s="28" t="s">
        <v>224</v>
      </c>
      <c r="F16" s="29" t="s">
        <v>276</v>
      </c>
      <c r="G16" s="29" t="s">
        <v>258</v>
      </c>
      <c r="H16" s="29" t="s">
        <v>259</v>
      </c>
      <c r="I16" s="29" t="s">
        <v>260</v>
      </c>
      <c r="J16" s="29" t="s">
        <v>261</v>
      </c>
      <c r="K16" s="28" t="s">
        <v>229</v>
      </c>
      <c r="L16" s="28" t="s">
        <v>230</v>
      </c>
      <c r="M16" s="28" t="s">
        <v>53</v>
      </c>
      <c r="N16" s="28" t="s">
        <v>231</v>
      </c>
      <c r="O16" s="28" t="s">
        <v>232</v>
      </c>
      <c r="P16" s="28" t="s">
        <v>53</v>
      </c>
      <c r="Q16" s="28" t="s">
        <v>233</v>
      </c>
      <c r="R16" s="30" t="n">
        <v>5</v>
      </c>
    </row>
    <row r="17" customFormat="false" ht="60" hidden="false" customHeight="true" outlineLevel="0" collapsed="false">
      <c r="A17" s="23" t="s">
        <v>277</v>
      </c>
      <c r="B17" s="31" t="s">
        <v>16</v>
      </c>
      <c r="C17" s="23" t="s">
        <v>278</v>
      </c>
      <c r="D17" s="36" t="s">
        <v>15</v>
      </c>
      <c r="E17" s="23" t="s">
        <v>224</v>
      </c>
      <c r="F17" s="26" t="s">
        <v>279</v>
      </c>
      <c r="G17" s="26" t="s">
        <v>258</v>
      </c>
      <c r="H17" s="26" t="s">
        <v>259</v>
      </c>
      <c r="I17" s="26" t="s">
        <v>260</v>
      </c>
      <c r="J17" s="26" t="s">
        <v>261</v>
      </c>
      <c r="K17" s="23" t="s">
        <v>229</v>
      </c>
      <c r="L17" s="23" t="s">
        <v>230</v>
      </c>
      <c r="M17" s="23" t="s">
        <v>53</v>
      </c>
      <c r="N17" s="23" t="s">
        <v>231</v>
      </c>
      <c r="O17" s="23" t="s">
        <v>232</v>
      </c>
      <c r="P17" s="23" t="s">
        <v>53</v>
      </c>
      <c r="Q17" s="23" t="s">
        <v>233</v>
      </c>
      <c r="R17" s="27" t="n">
        <v>6</v>
      </c>
    </row>
    <row r="18" customFormat="false" ht="60" hidden="false" customHeight="true" outlineLevel="0" collapsed="false">
      <c r="A18" s="28" t="s">
        <v>280</v>
      </c>
      <c r="B18" s="31" t="s">
        <v>16</v>
      </c>
      <c r="C18" s="28" t="s">
        <v>281</v>
      </c>
      <c r="D18" s="36" t="s">
        <v>15</v>
      </c>
      <c r="E18" s="28" t="s">
        <v>224</v>
      </c>
      <c r="F18" s="29" t="s">
        <v>282</v>
      </c>
      <c r="G18" s="29" t="s">
        <v>258</v>
      </c>
      <c r="H18" s="29" t="s">
        <v>259</v>
      </c>
      <c r="I18" s="29" t="s">
        <v>260</v>
      </c>
      <c r="J18" s="29" t="s">
        <v>261</v>
      </c>
      <c r="K18" s="28" t="s">
        <v>229</v>
      </c>
      <c r="L18" s="28" t="s">
        <v>230</v>
      </c>
      <c r="M18" s="28" t="s">
        <v>53</v>
      </c>
      <c r="N18" s="28" t="s">
        <v>231</v>
      </c>
      <c r="O18" s="28" t="s">
        <v>232</v>
      </c>
      <c r="P18" s="28" t="s">
        <v>53</v>
      </c>
      <c r="Q18" s="28" t="s">
        <v>233</v>
      </c>
      <c r="R18" s="30" t="n">
        <v>4</v>
      </c>
    </row>
    <row r="19" customFormat="false" ht="60" hidden="false" customHeight="true" outlineLevel="0" collapsed="false">
      <c r="A19" s="23" t="s">
        <v>283</v>
      </c>
      <c r="B19" s="31" t="s">
        <v>16</v>
      </c>
      <c r="C19" s="23" t="s">
        <v>284</v>
      </c>
      <c r="D19" s="36" t="s">
        <v>15</v>
      </c>
      <c r="E19" s="23" t="s">
        <v>224</v>
      </c>
      <c r="F19" s="26" t="s">
        <v>285</v>
      </c>
      <c r="G19" s="26" t="s">
        <v>258</v>
      </c>
      <c r="H19" s="26" t="s">
        <v>259</v>
      </c>
      <c r="I19" s="26" t="s">
        <v>260</v>
      </c>
      <c r="J19" s="26" t="s">
        <v>261</v>
      </c>
      <c r="K19" s="23" t="s">
        <v>229</v>
      </c>
      <c r="L19" s="23" t="s">
        <v>230</v>
      </c>
      <c r="M19" s="23" t="s">
        <v>53</v>
      </c>
      <c r="N19" s="23" t="s">
        <v>231</v>
      </c>
      <c r="O19" s="23" t="s">
        <v>232</v>
      </c>
      <c r="P19" s="23" t="s">
        <v>53</v>
      </c>
      <c r="Q19" s="23" t="s">
        <v>233</v>
      </c>
      <c r="R19" s="27" t="n">
        <v>5</v>
      </c>
    </row>
    <row r="20" customFormat="false" ht="60" hidden="false" customHeight="true" outlineLevel="0" collapsed="false">
      <c r="A20" s="28" t="s">
        <v>286</v>
      </c>
      <c r="B20" s="32" t="s">
        <v>18</v>
      </c>
      <c r="C20" s="28" t="s">
        <v>287</v>
      </c>
      <c r="D20" s="36" t="s">
        <v>15</v>
      </c>
      <c r="E20" s="28" t="s">
        <v>224</v>
      </c>
      <c r="F20" s="29" t="s">
        <v>288</v>
      </c>
      <c r="G20" s="29" t="s">
        <v>289</v>
      </c>
      <c r="H20" s="29" t="s">
        <v>290</v>
      </c>
      <c r="I20" s="29" t="s">
        <v>291</v>
      </c>
      <c r="J20" s="29" t="s">
        <v>292</v>
      </c>
      <c r="K20" s="28" t="s">
        <v>229</v>
      </c>
      <c r="L20" s="28" t="s">
        <v>230</v>
      </c>
      <c r="M20" s="28" t="s">
        <v>53</v>
      </c>
      <c r="N20" s="28" t="s">
        <v>231</v>
      </c>
      <c r="O20" s="28" t="s">
        <v>232</v>
      </c>
      <c r="P20" s="28" t="s">
        <v>53</v>
      </c>
      <c r="Q20" s="28" t="s">
        <v>233</v>
      </c>
      <c r="R20" s="30" t="n">
        <v>6</v>
      </c>
    </row>
    <row r="21" customFormat="false" ht="60" hidden="false" customHeight="true" outlineLevel="0" collapsed="false">
      <c r="A21" s="23" t="s">
        <v>293</v>
      </c>
      <c r="B21" s="32" t="s">
        <v>18</v>
      </c>
      <c r="C21" s="23" t="s">
        <v>294</v>
      </c>
      <c r="D21" s="36" t="s">
        <v>15</v>
      </c>
      <c r="E21" s="23" t="s">
        <v>224</v>
      </c>
      <c r="F21" s="26" t="s">
        <v>295</v>
      </c>
      <c r="G21" s="26" t="s">
        <v>289</v>
      </c>
      <c r="H21" s="26" t="s">
        <v>290</v>
      </c>
      <c r="I21" s="26" t="s">
        <v>291</v>
      </c>
      <c r="J21" s="26" t="s">
        <v>292</v>
      </c>
      <c r="K21" s="23" t="s">
        <v>229</v>
      </c>
      <c r="L21" s="23" t="s">
        <v>230</v>
      </c>
      <c r="M21" s="23" t="s">
        <v>53</v>
      </c>
      <c r="N21" s="23" t="s">
        <v>231</v>
      </c>
      <c r="O21" s="23" t="s">
        <v>232</v>
      </c>
      <c r="P21" s="23" t="s">
        <v>53</v>
      </c>
      <c r="Q21" s="23" t="s">
        <v>233</v>
      </c>
      <c r="R21" s="27" t="n">
        <v>4</v>
      </c>
    </row>
    <row r="22" customFormat="false" ht="60" hidden="false" customHeight="true" outlineLevel="0" collapsed="false">
      <c r="A22" s="28" t="s">
        <v>296</v>
      </c>
      <c r="B22" s="32" t="s">
        <v>18</v>
      </c>
      <c r="C22" s="28" t="s">
        <v>297</v>
      </c>
      <c r="D22" s="36" t="s">
        <v>15</v>
      </c>
      <c r="E22" s="28" t="s">
        <v>224</v>
      </c>
      <c r="F22" s="29" t="s">
        <v>298</v>
      </c>
      <c r="G22" s="29" t="s">
        <v>289</v>
      </c>
      <c r="H22" s="29" t="s">
        <v>290</v>
      </c>
      <c r="I22" s="29" t="s">
        <v>291</v>
      </c>
      <c r="J22" s="29" t="s">
        <v>292</v>
      </c>
      <c r="K22" s="28" t="s">
        <v>229</v>
      </c>
      <c r="L22" s="28" t="s">
        <v>230</v>
      </c>
      <c r="M22" s="28" t="s">
        <v>53</v>
      </c>
      <c r="N22" s="28" t="s">
        <v>231</v>
      </c>
      <c r="O22" s="28" t="s">
        <v>232</v>
      </c>
      <c r="P22" s="28" t="s">
        <v>53</v>
      </c>
      <c r="Q22" s="28" t="s">
        <v>233</v>
      </c>
      <c r="R22" s="30" t="n">
        <v>5</v>
      </c>
    </row>
    <row r="23" customFormat="false" ht="60" hidden="false" customHeight="true" outlineLevel="0" collapsed="false">
      <c r="A23" s="23" t="s">
        <v>299</v>
      </c>
      <c r="B23" s="32" t="s">
        <v>18</v>
      </c>
      <c r="C23" s="23" t="s">
        <v>300</v>
      </c>
      <c r="D23" s="36" t="s">
        <v>15</v>
      </c>
      <c r="E23" s="23" t="s">
        <v>224</v>
      </c>
      <c r="F23" s="26" t="s">
        <v>301</v>
      </c>
      <c r="G23" s="26" t="s">
        <v>289</v>
      </c>
      <c r="H23" s="26" t="s">
        <v>290</v>
      </c>
      <c r="I23" s="26" t="s">
        <v>291</v>
      </c>
      <c r="J23" s="26" t="s">
        <v>292</v>
      </c>
      <c r="K23" s="23" t="s">
        <v>229</v>
      </c>
      <c r="L23" s="23" t="s">
        <v>230</v>
      </c>
      <c r="M23" s="23" t="s">
        <v>53</v>
      </c>
      <c r="N23" s="23" t="s">
        <v>231</v>
      </c>
      <c r="O23" s="23" t="s">
        <v>232</v>
      </c>
      <c r="P23" s="23" t="s">
        <v>53</v>
      </c>
      <c r="Q23" s="23" t="s">
        <v>233</v>
      </c>
      <c r="R23" s="27" t="n">
        <v>6</v>
      </c>
    </row>
    <row r="24" customFormat="false" ht="60" hidden="false" customHeight="true" outlineLevel="0" collapsed="false">
      <c r="A24" s="28" t="s">
        <v>302</v>
      </c>
      <c r="B24" s="32" t="s">
        <v>18</v>
      </c>
      <c r="C24" s="28" t="s">
        <v>303</v>
      </c>
      <c r="D24" s="36" t="s">
        <v>15</v>
      </c>
      <c r="E24" s="28" t="s">
        <v>224</v>
      </c>
      <c r="F24" s="29" t="s">
        <v>304</v>
      </c>
      <c r="G24" s="29" t="s">
        <v>289</v>
      </c>
      <c r="H24" s="29" t="s">
        <v>290</v>
      </c>
      <c r="I24" s="29" t="s">
        <v>291</v>
      </c>
      <c r="J24" s="29" t="s">
        <v>292</v>
      </c>
      <c r="K24" s="28" t="s">
        <v>229</v>
      </c>
      <c r="L24" s="28" t="s">
        <v>230</v>
      </c>
      <c r="M24" s="28" t="s">
        <v>53</v>
      </c>
      <c r="N24" s="28" t="s">
        <v>231</v>
      </c>
      <c r="O24" s="28" t="s">
        <v>232</v>
      </c>
      <c r="P24" s="28" t="s">
        <v>53</v>
      </c>
      <c r="Q24" s="28" t="s">
        <v>233</v>
      </c>
      <c r="R24" s="30" t="n">
        <v>4</v>
      </c>
    </row>
    <row r="25" customFormat="false" ht="60" hidden="false" customHeight="true" outlineLevel="0" collapsed="false">
      <c r="A25" s="23" t="s">
        <v>305</v>
      </c>
      <c r="B25" s="32" t="s">
        <v>18</v>
      </c>
      <c r="C25" s="23" t="s">
        <v>306</v>
      </c>
      <c r="D25" s="36" t="s">
        <v>15</v>
      </c>
      <c r="E25" s="23" t="s">
        <v>224</v>
      </c>
      <c r="F25" s="26" t="s">
        <v>307</v>
      </c>
      <c r="G25" s="26" t="s">
        <v>289</v>
      </c>
      <c r="H25" s="26" t="s">
        <v>290</v>
      </c>
      <c r="I25" s="26" t="s">
        <v>291</v>
      </c>
      <c r="J25" s="26" t="s">
        <v>292</v>
      </c>
      <c r="K25" s="23" t="s">
        <v>229</v>
      </c>
      <c r="L25" s="23" t="s">
        <v>230</v>
      </c>
      <c r="M25" s="23" t="s">
        <v>53</v>
      </c>
      <c r="N25" s="23" t="s">
        <v>231</v>
      </c>
      <c r="O25" s="23" t="s">
        <v>232</v>
      </c>
      <c r="P25" s="23" t="s">
        <v>53</v>
      </c>
      <c r="Q25" s="23" t="s">
        <v>233</v>
      </c>
      <c r="R25" s="27" t="n">
        <v>5</v>
      </c>
    </row>
    <row r="26" customFormat="false" ht="60" hidden="false" customHeight="true" outlineLevel="0" collapsed="false">
      <c r="A26" s="28" t="s">
        <v>308</v>
      </c>
      <c r="B26" s="32" t="s">
        <v>18</v>
      </c>
      <c r="C26" s="28" t="s">
        <v>309</v>
      </c>
      <c r="D26" s="36" t="s">
        <v>15</v>
      </c>
      <c r="E26" s="28" t="s">
        <v>224</v>
      </c>
      <c r="F26" s="29" t="s">
        <v>310</v>
      </c>
      <c r="G26" s="29" t="s">
        <v>289</v>
      </c>
      <c r="H26" s="29" t="s">
        <v>290</v>
      </c>
      <c r="I26" s="29" t="s">
        <v>291</v>
      </c>
      <c r="J26" s="29" t="s">
        <v>292</v>
      </c>
      <c r="K26" s="28" t="s">
        <v>229</v>
      </c>
      <c r="L26" s="28" t="s">
        <v>230</v>
      </c>
      <c r="M26" s="28" t="s">
        <v>53</v>
      </c>
      <c r="N26" s="28" t="s">
        <v>231</v>
      </c>
      <c r="O26" s="28" t="s">
        <v>232</v>
      </c>
      <c r="P26" s="28" t="s">
        <v>53</v>
      </c>
      <c r="Q26" s="28" t="s">
        <v>233</v>
      </c>
      <c r="R26" s="30" t="n">
        <v>6</v>
      </c>
    </row>
    <row r="27" customFormat="false" ht="60" hidden="false" customHeight="true" outlineLevel="0" collapsed="false">
      <c r="A27" s="23" t="s">
        <v>311</v>
      </c>
      <c r="B27" s="32" t="s">
        <v>18</v>
      </c>
      <c r="C27" s="23" t="s">
        <v>312</v>
      </c>
      <c r="D27" s="36" t="s">
        <v>15</v>
      </c>
      <c r="E27" s="23" t="s">
        <v>224</v>
      </c>
      <c r="F27" s="26" t="s">
        <v>313</v>
      </c>
      <c r="G27" s="26" t="s">
        <v>289</v>
      </c>
      <c r="H27" s="26" t="s">
        <v>290</v>
      </c>
      <c r="I27" s="26" t="s">
        <v>291</v>
      </c>
      <c r="J27" s="26" t="s">
        <v>292</v>
      </c>
      <c r="K27" s="23" t="s">
        <v>229</v>
      </c>
      <c r="L27" s="23" t="s">
        <v>230</v>
      </c>
      <c r="M27" s="23" t="s">
        <v>53</v>
      </c>
      <c r="N27" s="23" t="s">
        <v>231</v>
      </c>
      <c r="O27" s="23" t="s">
        <v>232</v>
      </c>
      <c r="P27" s="23" t="s">
        <v>53</v>
      </c>
      <c r="Q27" s="23" t="s">
        <v>233</v>
      </c>
      <c r="R27" s="27" t="n">
        <v>4</v>
      </c>
    </row>
    <row r="28" customFormat="false" ht="60" hidden="false" customHeight="true" outlineLevel="0" collapsed="false">
      <c r="A28" s="28" t="s">
        <v>314</v>
      </c>
      <c r="B28" s="33" t="s">
        <v>20</v>
      </c>
      <c r="C28" s="28" t="s">
        <v>315</v>
      </c>
      <c r="D28" s="36" t="s">
        <v>15</v>
      </c>
      <c r="E28" s="28" t="s">
        <v>224</v>
      </c>
      <c r="F28" s="29" t="s">
        <v>316</v>
      </c>
      <c r="G28" s="29" t="s">
        <v>317</v>
      </c>
      <c r="H28" s="29" t="s">
        <v>318</v>
      </c>
      <c r="I28" s="29" t="s">
        <v>319</v>
      </c>
      <c r="J28" s="29" t="s">
        <v>320</v>
      </c>
      <c r="K28" s="28" t="s">
        <v>229</v>
      </c>
      <c r="L28" s="28" t="s">
        <v>230</v>
      </c>
      <c r="M28" s="28" t="s">
        <v>53</v>
      </c>
      <c r="N28" s="28" t="s">
        <v>231</v>
      </c>
      <c r="O28" s="28" t="s">
        <v>232</v>
      </c>
      <c r="P28" s="28" t="s">
        <v>53</v>
      </c>
      <c r="Q28" s="28" t="s">
        <v>233</v>
      </c>
      <c r="R28" s="30" t="n">
        <v>5</v>
      </c>
    </row>
    <row r="29" customFormat="false" ht="60" hidden="false" customHeight="true" outlineLevel="0" collapsed="false">
      <c r="A29" s="23" t="s">
        <v>321</v>
      </c>
      <c r="B29" s="33" t="s">
        <v>20</v>
      </c>
      <c r="C29" s="23" t="s">
        <v>322</v>
      </c>
      <c r="D29" s="36" t="s">
        <v>15</v>
      </c>
      <c r="E29" s="23" t="s">
        <v>224</v>
      </c>
      <c r="F29" s="26" t="s">
        <v>323</v>
      </c>
      <c r="G29" s="26" t="s">
        <v>317</v>
      </c>
      <c r="H29" s="26" t="s">
        <v>318</v>
      </c>
      <c r="I29" s="26" t="s">
        <v>319</v>
      </c>
      <c r="J29" s="26" t="s">
        <v>320</v>
      </c>
      <c r="K29" s="23" t="s">
        <v>229</v>
      </c>
      <c r="L29" s="23" t="s">
        <v>230</v>
      </c>
      <c r="M29" s="23" t="s">
        <v>53</v>
      </c>
      <c r="N29" s="23" t="s">
        <v>231</v>
      </c>
      <c r="O29" s="23" t="s">
        <v>232</v>
      </c>
      <c r="P29" s="23" t="s">
        <v>53</v>
      </c>
      <c r="Q29" s="23" t="s">
        <v>233</v>
      </c>
      <c r="R29" s="27" t="n">
        <v>6</v>
      </c>
    </row>
    <row r="30" customFormat="false" ht="60" hidden="false" customHeight="true" outlineLevel="0" collapsed="false">
      <c r="A30" s="28" t="s">
        <v>324</v>
      </c>
      <c r="B30" s="33" t="s">
        <v>20</v>
      </c>
      <c r="C30" s="28" t="s">
        <v>325</v>
      </c>
      <c r="D30" s="36" t="s">
        <v>15</v>
      </c>
      <c r="E30" s="28" t="s">
        <v>224</v>
      </c>
      <c r="F30" s="29" t="s">
        <v>326</v>
      </c>
      <c r="G30" s="29" t="s">
        <v>317</v>
      </c>
      <c r="H30" s="29" t="s">
        <v>318</v>
      </c>
      <c r="I30" s="29" t="s">
        <v>319</v>
      </c>
      <c r="J30" s="29" t="s">
        <v>320</v>
      </c>
      <c r="K30" s="28" t="s">
        <v>229</v>
      </c>
      <c r="L30" s="28" t="s">
        <v>230</v>
      </c>
      <c r="M30" s="28" t="s">
        <v>53</v>
      </c>
      <c r="N30" s="28" t="s">
        <v>231</v>
      </c>
      <c r="O30" s="28" t="s">
        <v>232</v>
      </c>
      <c r="P30" s="28" t="s">
        <v>53</v>
      </c>
      <c r="Q30" s="28" t="s">
        <v>233</v>
      </c>
      <c r="R30" s="30" t="n">
        <v>4</v>
      </c>
    </row>
    <row r="31" customFormat="false" ht="60" hidden="false" customHeight="true" outlineLevel="0" collapsed="false">
      <c r="A31" s="23" t="s">
        <v>327</v>
      </c>
      <c r="B31" s="33" t="s">
        <v>20</v>
      </c>
      <c r="C31" s="23" t="s">
        <v>328</v>
      </c>
      <c r="D31" s="36" t="s">
        <v>15</v>
      </c>
      <c r="E31" s="23" t="s">
        <v>224</v>
      </c>
      <c r="F31" s="26" t="s">
        <v>329</v>
      </c>
      <c r="G31" s="26" t="s">
        <v>317</v>
      </c>
      <c r="H31" s="26" t="s">
        <v>318</v>
      </c>
      <c r="I31" s="26" t="s">
        <v>319</v>
      </c>
      <c r="J31" s="26" t="s">
        <v>320</v>
      </c>
      <c r="K31" s="23" t="s">
        <v>229</v>
      </c>
      <c r="L31" s="23" t="s">
        <v>230</v>
      </c>
      <c r="M31" s="23" t="s">
        <v>53</v>
      </c>
      <c r="N31" s="23" t="s">
        <v>231</v>
      </c>
      <c r="O31" s="23" t="s">
        <v>232</v>
      </c>
      <c r="P31" s="23" t="s">
        <v>53</v>
      </c>
      <c r="Q31" s="23" t="s">
        <v>233</v>
      </c>
      <c r="R31" s="27" t="n">
        <v>5</v>
      </c>
    </row>
    <row r="32" customFormat="false" ht="60" hidden="false" customHeight="true" outlineLevel="0" collapsed="false">
      <c r="A32" s="28" t="s">
        <v>330</v>
      </c>
      <c r="B32" s="33" t="s">
        <v>20</v>
      </c>
      <c r="C32" s="28" t="s">
        <v>331</v>
      </c>
      <c r="D32" s="36" t="s">
        <v>15</v>
      </c>
      <c r="E32" s="28" t="s">
        <v>224</v>
      </c>
      <c r="F32" s="29" t="s">
        <v>332</v>
      </c>
      <c r="G32" s="29" t="s">
        <v>317</v>
      </c>
      <c r="H32" s="29" t="s">
        <v>318</v>
      </c>
      <c r="I32" s="29" t="s">
        <v>319</v>
      </c>
      <c r="J32" s="29" t="s">
        <v>320</v>
      </c>
      <c r="K32" s="28" t="s">
        <v>229</v>
      </c>
      <c r="L32" s="28" t="s">
        <v>230</v>
      </c>
      <c r="M32" s="28" t="s">
        <v>53</v>
      </c>
      <c r="N32" s="28" t="s">
        <v>231</v>
      </c>
      <c r="O32" s="28" t="s">
        <v>232</v>
      </c>
      <c r="P32" s="28" t="s">
        <v>53</v>
      </c>
      <c r="Q32" s="28" t="s">
        <v>233</v>
      </c>
      <c r="R32" s="30" t="n">
        <v>6</v>
      </c>
    </row>
    <row r="33" customFormat="false" ht="60" hidden="false" customHeight="true" outlineLevel="0" collapsed="false">
      <c r="A33" s="23" t="s">
        <v>333</v>
      </c>
      <c r="B33" s="33" t="s">
        <v>20</v>
      </c>
      <c r="C33" s="23" t="s">
        <v>334</v>
      </c>
      <c r="D33" s="36" t="s">
        <v>15</v>
      </c>
      <c r="E33" s="23" t="s">
        <v>224</v>
      </c>
      <c r="F33" s="26" t="s">
        <v>335</v>
      </c>
      <c r="G33" s="26" t="s">
        <v>317</v>
      </c>
      <c r="H33" s="26" t="s">
        <v>318</v>
      </c>
      <c r="I33" s="26" t="s">
        <v>319</v>
      </c>
      <c r="J33" s="26" t="s">
        <v>320</v>
      </c>
      <c r="K33" s="23" t="s">
        <v>229</v>
      </c>
      <c r="L33" s="23" t="s">
        <v>230</v>
      </c>
      <c r="M33" s="23" t="s">
        <v>53</v>
      </c>
      <c r="N33" s="23" t="s">
        <v>231</v>
      </c>
      <c r="O33" s="23" t="s">
        <v>232</v>
      </c>
      <c r="P33" s="23" t="s">
        <v>53</v>
      </c>
      <c r="Q33" s="23" t="s">
        <v>233</v>
      </c>
      <c r="R33" s="27" t="n">
        <v>4</v>
      </c>
    </row>
    <row r="34" customFormat="false" ht="60" hidden="false" customHeight="true" outlineLevel="0" collapsed="false">
      <c r="A34" s="28" t="s">
        <v>336</v>
      </c>
      <c r="B34" s="33" t="s">
        <v>20</v>
      </c>
      <c r="C34" s="28" t="s">
        <v>337</v>
      </c>
      <c r="D34" s="36" t="s">
        <v>15</v>
      </c>
      <c r="E34" s="28" t="s">
        <v>224</v>
      </c>
      <c r="F34" s="29" t="s">
        <v>338</v>
      </c>
      <c r="G34" s="29" t="s">
        <v>317</v>
      </c>
      <c r="H34" s="29" t="s">
        <v>318</v>
      </c>
      <c r="I34" s="29" t="s">
        <v>319</v>
      </c>
      <c r="J34" s="29" t="s">
        <v>320</v>
      </c>
      <c r="K34" s="28" t="s">
        <v>229</v>
      </c>
      <c r="L34" s="28" t="s">
        <v>230</v>
      </c>
      <c r="M34" s="28" t="s">
        <v>53</v>
      </c>
      <c r="N34" s="28" t="s">
        <v>231</v>
      </c>
      <c r="O34" s="28" t="s">
        <v>232</v>
      </c>
      <c r="P34" s="28" t="s">
        <v>53</v>
      </c>
      <c r="Q34" s="28" t="s">
        <v>233</v>
      </c>
      <c r="R34" s="30" t="n">
        <v>5</v>
      </c>
    </row>
    <row r="35" customFormat="false" ht="60" hidden="false" customHeight="true" outlineLevel="0" collapsed="false">
      <c r="A35" s="23" t="s">
        <v>339</v>
      </c>
      <c r="B35" s="33" t="s">
        <v>20</v>
      </c>
      <c r="C35" s="23" t="s">
        <v>340</v>
      </c>
      <c r="D35" s="36" t="s">
        <v>15</v>
      </c>
      <c r="E35" s="23" t="s">
        <v>224</v>
      </c>
      <c r="F35" s="26" t="s">
        <v>341</v>
      </c>
      <c r="G35" s="26" t="s">
        <v>317</v>
      </c>
      <c r="H35" s="26" t="s">
        <v>318</v>
      </c>
      <c r="I35" s="26" t="s">
        <v>319</v>
      </c>
      <c r="J35" s="26" t="s">
        <v>320</v>
      </c>
      <c r="K35" s="23" t="s">
        <v>229</v>
      </c>
      <c r="L35" s="23" t="s">
        <v>230</v>
      </c>
      <c r="M35" s="23" t="s">
        <v>53</v>
      </c>
      <c r="N35" s="23" t="s">
        <v>231</v>
      </c>
      <c r="O35" s="23" t="s">
        <v>232</v>
      </c>
      <c r="P35" s="23" t="s">
        <v>53</v>
      </c>
      <c r="Q35" s="23" t="s">
        <v>233</v>
      </c>
      <c r="R35" s="27" t="n">
        <v>6</v>
      </c>
    </row>
    <row r="36" customFormat="false" ht="60" hidden="false" customHeight="true" outlineLevel="0" collapsed="false">
      <c r="A36" s="28" t="s">
        <v>342</v>
      </c>
      <c r="B36" s="33" t="s">
        <v>20</v>
      </c>
      <c r="C36" s="28" t="s">
        <v>343</v>
      </c>
      <c r="D36" s="36" t="s">
        <v>15</v>
      </c>
      <c r="E36" s="28" t="s">
        <v>224</v>
      </c>
      <c r="F36" s="29" t="s">
        <v>344</v>
      </c>
      <c r="G36" s="29" t="s">
        <v>317</v>
      </c>
      <c r="H36" s="29" t="s">
        <v>318</v>
      </c>
      <c r="I36" s="29" t="s">
        <v>319</v>
      </c>
      <c r="J36" s="29" t="s">
        <v>320</v>
      </c>
      <c r="K36" s="28" t="s">
        <v>229</v>
      </c>
      <c r="L36" s="28" t="s">
        <v>230</v>
      </c>
      <c r="M36" s="28" t="s">
        <v>53</v>
      </c>
      <c r="N36" s="28" t="s">
        <v>231</v>
      </c>
      <c r="O36" s="28" t="s">
        <v>232</v>
      </c>
      <c r="P36" s="28" t="s">
        <v>53</v>
      </c>
      <c r="Q36" s="28" t="s">
        <v>233</v>
      </c>
      <c r="R36" s="30" t="n">
        <v>4</v>
      </c>
    </row>
    <row r="37" customFormat="false" ht="60" hidden="false" customHeight="true" outlineLevel="0" collapsed="false">
      <c r="A37" s="23" t="s">
        <v>345</v>
      </c>
      <c r="B37" s="34" t="s">
        <v>22</v>
      </c>
      <c r="C37" s="23" t="s">
        <v>346</v>
      </c>
      <c r="D37" s="36" t="s">
        <v>15</v>
      </c>
      <c r="E37" s="23" t="s">
        <v>224</v>
      </c>
      <c r="F37" s="26" t="s">
        <v>347</v>
      </c>
      <c r="G37" s="26" t="s">
        <v>348</v>
      </c>
      <c r="H37" s="26" t="s">
        <v>349</v>
      </c>
      <c r="I37" s="26" t="s">
        <v>350</v>
      </c>
      <c r="J37" s="26" t="s">
        <v>351</v>
      </c>
      <c r="K37" s="23" t="s">
        <v>229</v>
      </c>
      <c r="L37" s="23" t="s">
        <v>230</v>
      </c>
      <c r="M37" s="23" t="s">
        <v>53</v>
      </c>
      <c r="N37" s="23" t="s">
        <v>231</v>
      </c>
      <c r="O37" s="23" t="s">
        <v>232</v>
      </c>
      <c r="P37" s="23" t="s">
        <v>53</v>
      </c>
      <c r="Q37" s="23" t="s">
        <v>233</v>
      </c>
      <c r="R37" s="27" t="n">
        <v>5</v>
      </c>
    </row>
    <row r="38" customFormat="false" ht="60" hidden="false" customHeight="true" outlineLevel="0" collapsed="false">
      <c r="A38" s="28" t="s">
        <v>352</v>
      </c>
      <c r="B38" s="34" t="s">
        <v>22</v>
      </c>
      <c r="C38" s="28" t="s">
        <v>353</v>
      </c>
      <c r="D38" s="36" t="s">
        <v>15</v>
      </c>
      <c r="E38" s="28" t="s">
        <v>224</v>
      </c>
      <c r="F38" s="29" t="s">
        <v>354</v>
      </c>
      <c r="G38" s="29" t="s">
        <v>348</v>
      </c>
      <c r="H38" s="29" t="s">
        <v>349</v>
      </c>
      <c r="I38" s="29" t="s">
        <v>350</v>
      </c>
      <c r="J38" s="29" t="s">
        <v>351</v>
      </c>
      <c r="K38" s="28" t="s">
        <v>229</v>
      </c>
      <c r="L38" s="28" t="s">
        <v>230</v>
      </c>
      <c r="M38" s="28" t="s">
        <v>53</v>
      </c>
      <c r="N38" s="28" t="s">
        <v>231</v>
      </c>
      <c r="O38" s="28" t="s">
        <v>232</v>
      </c>
      <c r="P38" s="28" t="s">
        <v>53</v>
      </c>
      <c r="Q38" s="28" t="s">
        <v>233</v>
      </c>
      <c r="R38" s="30" t="n">
        <v>6</v>
      </c>
    </row>
    <row r="39" customFormat="false" ht="60" hidden="false" customHeight="true" outlineLevel="0" collapsed="false">
      <c r="A39" s="23" t="s">
        <v>355</v>
      </c>
      <c r="B39" s="34" t="s">
        <v>22</v>
      </c>
      <c r="C39" s="23" t="s">
        <v>356</v>
      </c>
      <c r="D39" s="36" t="s">
        <v>15</v>
      </c>
      <c r="E39" s="23" t="s">
        <v>224</v>
      </c>
      <c r="F39" s="26" t="s">
        <v>357</v>
      </c>
      <c r="G39" s="26" t="s">
        <v>348</v>
      </c>
      <c r="H39" s="26" t="s">
        <v>349</v>
      </c>
      <c r="I39" s="26" t="s">
        <v>350</v>
      </c>
      <c r="J39" s="26" t="s">
        <v>351</v>
      </c>
      <c r="K39" s="23" t="s">
        <v>229</v>
      </c>
      <c r="L39" s="23" t="s">
        <v>230</v>
      </c>
      <c r="M39" s="23" t="s">
        <v>53</v>
      </c>
      <c r="N39" s="23" t="s">
        <v>231</v>
      </c>
      <c r="O39" s="23" t="s">
        <v>232</v>
      </c>
      <c r="P39" s="23" t="s">
        <v>53</v>
      </c>
      <c r="Q39" s="23" t="s">
        <v>233</v>
      </c>
      <c r="R39" s="27" t="n">
        <v>4</v>
      </c>
    </row>
    <row r="40" customFormat="false" ht="60" hidden="false" customHeight="true" outlineLevel="0" collapsed="false">
      <c r="A40" s="28" t="s">
        <v>358</v>
      </c>
      <c r="B40" s="34" t="s">
        <v>22</v>
      </c>
      <c r="C40" s="28" t="s">
        <v>359</v>
      </c>
      <c r="D40" s="36" t="s">
        <v>15</v>
      </c>
      <c r="E40" s="28" t="s">
        <v>224</v>
      </c>
      <c r="F40" s="29" t="s">
        <v>360</v>
      </c>
      <c r="G40" s="29" t="s">
        <v>348</v>
      </c>
      <c r="H40" s="29" t="s">
        <v>349</v>
      </c>
      <c r="I40" s="29" t="s">
        <v>350</v>
      </c>
      <c r="J40" s="29" t="s">
        <v>351</v>
      </c>
      <c r="K40" s="28" t="s">
        <v>229</v>
      </c>
      <c r="L40" s="28" t="s">
        <v>230</v>
      </c>
      <c r="M40" s="28" t="s">
        <v>53</v>
      </c>
      <c r="N40" s="28" t="s">
        <v>231</v>
      </c>
      <c r="O40" s="28" t="s">
        <v>232</v>
      </c>
      <c r="P40" s="28" t="s">
        <v>53</v>
      </c>
      <c r="Q40" s="28" t="s">
        <v>233</v>
      </c>
      <c r="R40" s="30" t="n">
        <v>5</v>
      </c>
    </row>
    <row r="41" customFormat="false" ht="60" hidden="false" customHeight="true" outlineLevel="0" collapsed="false">
      <c r="A41" s="23" t="s">
        <v>361</v>
      </c>
      <c r="B41" s="34" t="s">
        <v>22</v>
      </c>
      <c r="C41" s="23" t="s">
        <v>362</v>
      </c>
      <c r="D41" s="36" t="s">
        <v>15</v>
      </c>
      <c r="E41" s="23" t="s">
        <v>224</v>
      </c>
      <c r="F41" s="26" t="s">
        <v>363</v>
      </c>
      <c r="G41" s="26" t="s">
        <v>348</v>
      </c>
      <c r="H41" s="26" t="s">
        <v>349</v>
      </c>
      <c r="I41" s="26" t="s">
        <v>350</v>
      </c>
      <c r="J41" s="26" t="s">
        <v>351</v>
      </c>
      <c r="K41" s="23" t="s">
        <v>229</v>
      </c>
      <c r="L41" s="23" t="s">
        <v>230</v>
      </c>
      <c r="M41" s="23" t="s">
        <v>53</v>
      </c>
      <c r="N41" s="23" t="s">
        <v>231</v>
      </c>
      <c r="O41" s="23" t="s">
        <v>232</v>
      </c>
      <c r="P41" s="23" t="s">
        <v>53</v>
      </c>
      <c r="Q41" s="23" t="s">
        <v>233</v>
      </c>
      <c r="R41" s="27" t="n">
        <v>6</v>
      </c>
    </row>
    <row r="42" customFormat="false" ht="60" hidden="false" customHeight="true" outlineLevel="0" collapsed="false">
      <c r="A42" s="28" t="s">
        <v>364</v>
      </c>
      <c r="B42" s="34" t="s">
        <v>22</v>
      </c>
      <c r="C42" s="28" t="s">
        <v>365</v>
      </c>
      <c r="D42" s="36" t="s">
        <v>15</v>
      </c>
      <c r="E42" s="28" t="s">
        <v>224</v>
      </c>
      <c r="F42" s="29" t="s">
        <v>366</v>
      </c>
      <c r="G42" s="29" t="s">
        <v>348</v>
      </c>
      <c r="H42" s="29" t="s">
        <v>349</v>
      </c>
      <c r="I42" s="29" t="s">
        <v>350</v>
      </c>
      <c r="J42" s="29" t="s">
        <v>351</v>
      </c>
      <c r="K42" s="28" t="s">
        <v>229</v>
      </c>
      <c r="L42" s="28" t="s">
        <v>230</v>
      </c>
      <c r="M42" s="28" t="s">
        <v>53</v>
      </c>
      <c r="N42" s="28" t="s">
        <v>231</v>
      </c>
      <c r="O42" s="28" t="s">
        <v>232</v>
      </c>
      <c r="P42" s="28" t="s">
        <v>53</v>
      </c>
      <c r="Q42" s="28" t="s">
        <v>233</v>
      </c>
      <c r="R42" s="30" t="n">
        <v>4</v>
      </c>
    </row>
    <row r="43" customFormat="false" ht="60" hidden="false" customHeight="true" outlineLevel="0" collapsed="false">
      <c r="A43" s="23" t="s">
        <v>367</v>
      </c>
      <c r="B43" s="34" t="s">
        <v>22</v>
      </c>
      <c r="C43" s="23" t="s">
        <v>368</v>
      </c>
      <c r="D43" s="36" t="s">
        <v>15</v>
      </c>
      <c r="E43" s="23" t="s">
        <v>224</v>
      </c>
      <c r="F43" s="26" t="s">
        <v>369</v>
      </c>
      <c r="G43" s="26" t="s">
        <v>348</v>
      </c>
      <c r="H43" s="26" t="s">
        <v>349</v>
      </c>
      <c r="I43" s="26" t="s">
        <v>350</v>
      </c>
      <c r="J43" s="26" t="s">
        <v>351</v>
      </c>
      <c r="K43" s="23" t="s">
        <v>229</v>
      </c>
      <c r="L43" s="23" t="s">
        <v>230</v>
      </c>
      <c r="M43" s="23" t="s">
        <v>53</v>
      </c>
      <c r="N43" s="23" t="s">
        <v>231</v>
      </c>
      <c r="O43" s="23" t="s">
        <v>232</v>
      </c>
      <c r="P43" s="23" t="s">
        <v>53</v>
      </c>
      <c r="Q43" s="23" t="s">
        <v>233</v>
      </c>
      <c r="R43" s="27" t="n">
        <v>5</v>
      </c>
    </row>
    <row r="44" customFormat="false" ht="60" hidden="false" customHeight="true" outlineLevel="0" collapsed="false">
      <c r="A44" s="28" t="s">
        <v>370</v>
      </c>
      <c r="B44" s="34" t="s">
        <v>22</v>
      </c>
      <c r="C44" s="28" t="s">
        <v>371</v>
      </c>
      <c r="D44" s="36" t="s">
        <v>15</v>
      </c>
      <c r="E44" s="28" t="s">
        <v>224</v>
      </c>
      <c r="F44" s="29" t="s">
        <v>372</v>
      </c>
      <c r="G44" s="29" t="s">
        <v>348</v>
      </c>
      <c r="H44" s="29" t="s">
        <v>349</v>
      </c>
      <c r="I44" s="29" t="s">
        <v>350</v>
      </c>
      <c r="J44" s="29" t="s">
        <v>351</v>
      </c>
      <c r="K44" s="28" t="s">
        <v>229</v>
      </c>
      <c r="L44" s="28" t="s">
        <v>230</v>
      </c>
      <c r="M44" s="28" t="s">
        <v>53</v>
      </c>
      <c r="N44" s="28" t="s">
        <v>231</v>
      </c>
      <c r="O44" s="28" t="s">
        <v>232</v>
      </c>
      <c r="P44" s="28" t="s">
        <v>53</v>
      </c>
      <c r="Q44" s="28" t="s">
        <v>233</v>
      </c>
      <c r="R44" s="30" t="n">
        <v>6</v>
      </c>
    </row>
    <row r="45" customFormat="false" ht="60" hidden="false" customHeight="true" outlineLevel="0" collapsed="false">
      <c r="A45" s="23" t="s">
        <v>373</v>
      </c>
      <c r="B45" s="35" t="s">
        <v>23</v>
      </c>
      <c r="C45" s="23" t="s">
        <v>374</v>
      </c>
      <c r="D45" s="36" t="s">
        <v>15</v>
      </c>
      <c r="E45" s="23" t="s">
        <v>224</v>
      </c>
      <c r="F45" s="26" t="s">
        <v>375</v>
      </c>
      <c r="G45" s="26" t="s">
        <v>376</v>
      </c>
      <c r="H45" s="26" t="s">
        <v>377</v>
      </c>
      <c r="I45" s="26" t="s">
        <v>378</v>
      </c>
      <c r="J45" s="26" t="s">
        <v>379</v>
      </c>
      <c r="K45" s="23" t="s">
        <v>229</v>
      </c>
      <c r="L45" s="23" t="s">
        <v>230</v>
      </c>
      <c r="M45" s="23" t="s">
        <v>53</v>
      </c>
      <c r="N45" s="23" t="s">
        <v>231</v>
      </c>
      <c r="O45" s="23" t="s">
        <v>232</v>
      </c>
      <c r="P45" s="23" t="s">
        <v>53</v>
      </c>
      <c r="Q45" s="23" t="s">
        <v>233</v>
      </c>
      <c r="R45" s="27" t="n">
        <v>4</v>
      </c>
    </row>
    <row r="46" customFormat="false" ht="60" hidden="false" customHeight="true" outlineLevel="0" collapsed="false">
      <c r="A46" s="28" t="s">
        <v>380</v>
      </c>
      <c r="B46" s="35" t="s">
        <v>23</v>
      </c>
      <c r="C46" s="28" t="s">
        <v>381</v>
      </c>
      <c r="D46" s="36" t="s">
        <v>15</v>
      </c>
      <c r="E46" s="28" t="s">
        <v>224</v>
      </c>
      <c r="F46" s="29" t="s">
        <v>382</v>
      </c>
      <c r="G46" s="29" t="s">
        <v>376</v>
      </c>
      <c r="H46" s="29" t="s">
        <v>377</v>
      </c>
      <c r="I46" s="29" t="s">
        <v>378</v>
      </c>
      <c r="J46" s="29" t="s">
        <v>379</v>
      </c>
      <c r="K46" s="28" t="s">
        <v>229</v>
      </c>
      <c r="L46" s="28" t="s">
        <v>230</v>
      </c>
      <c r="M46" s="28" t="s">
        <v>53</v>
      </c>
      <c r="N46" s="28" t="s">
        <v>231</v>
      </c>
      <c r="O46" s="28" t="s">
        <v>232</v>
      </c>
      <c r="P46" s="28" t="s">
        <v>53</v>
      </c>
      <c r="Q46" s="28" t="s">
        <v>233</v>
      </c>
      <c r="R46" s="30" t="n">
        <v>5</v>
      </c>
    </row>
    <row r="47" customFormat="false" ht="60" hidden="false" customHeight="true" outlineLevel="0" collapsed="false">
      <c r="A47" s="23" t="s">
        <v>383</v>
      </c>
      <c r="B47" s="35" t="s">
        <v>23</v>
      </c>
      <c r="C47" s="23" t="s">
        <v>384</v>
      </c>
      <c r="D47" s="36" t="s">
        <v>15</v>
      </c>
      <c r="E47" s="23" t="s">
        <v>224</v>
      </c>
      <c r="F47" s="26" t="s">
        <v>385</v>
      </c>
      <c r="G47" s="26" t="s">
        <v>376</v>
      </c>
      <c r="H47" s="26" t="s">
        <v>377</v>
      </c>
      <c r="I47" s="26" t="s">
        <v>378</v>
      </c>
      <c r="J47" s="26" t="s">
        <v>379</v>
      </c>
      <c r="K47" s="23" t="s">
        <v>229</v>
      </c>
      <c r="L47" s="23" t="s">
        <v>230</v>
      </c>
      <c r="M47" s="23" t="s">
        <v>53</v>
      </c>
      <c r="N47" s="23" t="s">
        <v>231</v>
      </c>
      <c r="O47" s="23" t="s">
        <v>232</v>
      </c>
      <c r="P47" s="23" t="s">
        <v>53</v>
      </c>
      <c r="Q47" s="23" t="s">
        <v>233</v>
      </c>
      <c r="R47" s="27" t="n">
        <v>6</v>
      </c>
    </row>
    <row r="48" customFormat="false" ht="60" hidden="false" customHeight="true" outlineLevel="0" collapsed="false">
      <c r="A48" s="28" t="s">
        <v>386</v>
      </c>
      <c r="B48" s="35" t="s">
        <v>23</v>
      </c>
      <c r="C48" s="28" t="s">
        <v>387</v>
      </c>
      <c r="D48" s="36" t="s">
        <v>15</v>
      </c>
      <c r="E48" s="28" t="s">
        <v>224</v>
      </c>
      <c r="F48" s="29" t="s">
        <v>388</v>
      </c>
      <c r="G48" s="29" t="s">
        <v>376</v>
      </c>
      <c r="H48" s="29" t="s">
        <v>377</v>
      </c>
      <c r="I48" s="29" t="s">
        <v>378</v>
      </c>
      <c r="J48" s="29" t="s">
        <v>379</v>
      </c>
      <c r="K48" s="28" t="s">
        <v>229</v>
      </c>
      <c r="L48" s="28" t="s">
        <v>230</v>
      </c>
      <c r="M48" s="28" t="s">
        <v>53</v>
      </c>
      <c r="N48" s="28" t="s">
        <v>231</v>
      </c>
      <c r="O48" s="28" t="s">
        <v>232</v>
      </c>
      <c r="P48" s="28" t="s">
        <v>53</v>
      </c>
      <c r="Q48" s="28" t="s">
        <v>233</v>
      </c>
      <c r="R48" s="30" t="n">
        <v>4</v>
      </c>
    </row>
    <row r="49" customFormat="false" ht="60" hidden="false" customHeight="true" outlineLevel="0" collapsed="false">
      <c r="A49" s="23" t="s">
        <v>389</v>
      </c>
      <c r="B49" s="35" t="s">
        <v>23</v>
      </c>
      <c r="C49" s="23" t="s">
        <v>390</v>
      </c>
      <c r="D49" s="36" t="s">
        <v>15</v>
      </c>
      <c r="E49" s="23" t="s">
        <v>224</v>
      </c>
      <c r="F49" s="26" t="s">
        <v>391</v>
      </c>
      <c r="G49" s="26" t="s">
        <v>376</v>
      </c>
      <c r="H49" s="26" t="s">
        <v>377</v>
      </c>
      <c r="I49" s="26" t="s">
        <v>378</v>
      </c>
      <c r="J49" s="26" t="s">
        <v>379</v>
      </c>
      <c r="K49" s="23" t="s">
        <v>229</v>
      </c>
      <c r="L49" s="23" t="s">
        <v>230</v>
      </c>
      <c r="M49" s="23" t="s">
        <v>53</v>
      </c>
      <c r="N49" s="23" t="s">
        <v>231</v>
      </c>
      <c r="O49" s="23" t="s">
        <v>232</v>
      </c>
      <c r="P49" s="23" t="s">
        <v>53</v>
      </c>
      <c r="Q49" s="23" t="s">
        <v>233</v>
      </c>
      <c r="R49" s="27" t="n">
        <v>5</v>
      </c>
    </row>
    <row r="50" customFormat="false" ht="60" hidden="false" customHeight="true" outlineLevel="0" collapsed="false">
      <c r="A50" s="28" t="s">
        <v>392</v>
      </c>
      <c r="B50" s="35" t="s">
        <v>23</v>
      </c>
      <c r="C50" s="28" t="s">
        <v>393</v>
      </c>
      <c r="D50" s="36" t="s">
        <v>15</v>
      </c>
      <c r="E50" s="28" t="s">
        <v>224</v>
      </c>
      <c r="F50" s="29" t="s">
        <v>394</v>
      </c>
      <c r="G50" s="29" t="s">
        <v>376</v>
      </c>
      <c r="H50" s="29" t="s">
        <v>377</v>
      </c>
      <c r="I50" s="29" t="s">
        <v>378</v>
      </c>
      <c r="J50" s="29" t="s">
        <v>379</v>
      </c>
      <c r="K50" s="28" t="s">
        <v>229</v>
      </c>
      <c r="L50" s="28" t="s">
        <v>230</v>
      </c>
      <c r="M50" s="28" t="s">
        <v>53</v>
      </c>
      <c r="N50" s="28" t="s">
        <v>231</v>
      </c>
      <c r="O50" s="28" t="s">
        <v>232</v>
      </c>
      <c r="P50" s="28" t="s">
        <v>53</v>
      </c>
      <c r="Q50" s="28" t="s">
        <v>233</v>
      </c>
      <c r="R50" s="30" t="n">
        <v>6</v>
      </c>
    </row>
    <row r="51" customFormat="false" ht="60" hidden="false" customHeight="true" outlineLevel="0" collapsed="false">
      <c r="A51" s="23" t="s">
        <v>395</v>
      </c>
      <c r="B51" s="35" t="s">
        <v>23</v>
      </c>
      <c r="C51" s="23" t="s">
        <v>396</v>
      </c>
      <c r="D51" s="36" t="s">
        <v>15</v>
      </c>
      <c r="E51" s="23" t="s">
        <v>224</v>
      </c>
      <c r="F51" s="26" t="s">
        <v>397</v>
      </c>
      <c r="G51" s="26" t="s">
        <v>376</v>
      </c>
      <c r="H51" s="26" t="s">
        <v>377</v>
      </c>
      <c r="I51" s="26" t="s">
        <v>378</v>
      </c>
      <c r="J51" s="26" t="s">
        <v>379</v>
      </c>
      <c r="K51" s="23" t="s">
        <v>229</v>
      </c>
      <c r="L51" s="23" t="s">
        <v>230</v>
      </c>
      <c r="M51" s="23" t="s">
        <v>53</v>
      </c>
      <c r="N51" s="23" t="s">
        <v>231</v>
      </c>
      <c r="O51" s="23" t="s">
        <v>232</v>
      </c>
      <c r="P51" s="23" t="s">
        <v>53</v>
      </c>
      <c r="Q51" s="23" t="s">
        <v>233</v>
      </c>
      <c r="R51" s="27" t="n">
        <v>4</v>
      </c>
    </row>
    <row r="52" customFormat="false" ht="60" hidden="false" customHeight="true" outlineLevel="0" collapsed="false">
      <c r="A52" s="28" t="s">
        <v>398</v>
      </c>
      <c r="B52" s="35" t="s">
        <v>23</v>
      </c>
      <c r="C52" s="28" t="s">
        <v>399</v>
      </c>
      <c r="D52" s="36" t="s">
        <v>15</v>
      </c>
      <c r="E52" s="28" t="s">
        <v>224</v>
      </c>
      <c r="F52" s="29" t="s">
        <v>400</v>
      </c>
      <c r="G52" s="29" t="s">
        <v>376</v>
      </c>
      <c r="H52" s="29" t="s">
        <v>377</v>
      </c>
      <c r="I52" s="29" t="s">
        <v>378</v>
      </c>
      <c r="J52" s="29" t="s">
        <v>379</v>
      </c>
      <c r="K52" s="28" t="s">
        <v>229</v>
      </c>
      <c r="L52" s="28" t="s">
        <v>230</v>
      </c>
      <c r="M52" s="28" t="s">
        <v>53</v>
      </c>
      <c r="N52" s="28" t="s">
        <v>231</v>
      </c>
      <c r="O52" s="28" t="s">
        <v>232</v>
      </c>
      <c r="P52" s="28" t="s">
        <v>53</v>
      </c>
      <c r="Q52" s="28" t="s">
        <v>233</v>
      </c>
      <c r="R52" s="30" t="n">
        <v>5</v>
      </c>
    </row>
  </sheetData>
  <mergeCells count="1">
    <mergeCell ref="A1:R1"/>
  </mergeCells>
  <conditionalFormatting sqref="R3:R52">
    <cfRule type="expression" priority="2" aboveAverage="0" equalAverage="0" bottom="0" percent="0" rank="0" text="" dxfId="18">
      <formula>R3&gt;=8</formula>
    </cfRule>
    <cfRule type="expression" priority="3" aboveAverage="0" equalAverage="0" bottom="0" percent="0" rank="0" text="" dxfId="19">
      <formula>R3&lt;=3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2" min="11" style="0" width="16"/>
    <col collapsed="false" customWidth="true" hidden="false" outlineLevel="0" max="13" min="13" style="0" width="13"/>
    <col collapsed="false" customWidth="true" hidden="false" outlineLevel="0" max="16" min="14" style="0" width="14"/>
    <col collapsed="false" customWidth="true" hidden="false" outlineLevel="0" max="17" min="17" style="0" width="20"/>
    <col collapsed="false" customWidth="true" hidden="false" outlineLevel="0" max="18" min="18" style="0" width="16"/>
  </cols>
  <sheetData>
    <row r="1" customFormat="false" ht="25.5" hidden="false" customHeight="true" outlineLevel="0" collapsed="false">
      <c r="A1" s="21" t="s">
        <v>401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33.75" hidden="false" customHeight="true" outlineLevel="0" collapsed="false">
      <c r="A2" s="22" t="s">
        <v>26</v>
      </c>
      <c r="B2" s="22" t="s">
        <v>12</v>
      </c>
      <c r="C2" s="22" t="s">
        <v>27</v>
      </c>
      <c r="D2" s="22" t="s">
        <v>10</v>
      </c>
      <c r="E2" s="22" t="s">
        <v>28</v>
      </c>
      <c r="F2" s="22" t="s">
        <v>29</v>
      </c>
      <c r="G2" s="22" t="s">
        <v>30</v>
      </c>
      <c r="H2" s="22" t="s">
        <v>31</v>
      </c>
      <c r="I2" s="22" t="s">
        <v>32</v>
      </c>
      <c r="J2" s="22" t="s">
        <v>33</v>
      </c>
      <c r="K2" s="22" t="s">
        <v>34</v>
      </c>
      <c r="L2" s="22" t="s">
        <v>35</v>
      </c>
      <c r="M2" s="22" t="s">
        <v>36</v>
      </c>
      <c r="N2" s="22" t="s">
        <v>37</v>
      </c>
      <c r="O2" s="22" t="s">
        <v>38</v>
      </c>
      <c r="P2" s="22" t="s">
        <v>39</v>
      </c>
      <c r="Q2" s="22" t="s">
        <v>40</v>
      </c>
      <c r="R2" s="22" t="s">
        <v>41</v>
      </c>
    </row>
    <row r="3" customFormat="false" ht="60" hidden="false" customHeight="true" outlineLevel="0" collapsed="false">
      <c r="A3" s="23" t="s">
        <v>402</v>
      </c>
      <c r="B3" s="24" t="s">
        <v>14</v>
      </c>
      <c r="C3" s="23" t="s">
        <v>403</v>
      </c>
      <c r="D3" s="37" t="s">
        <v>17</v>
      </c>
      <c r="E3" s="23" t="s">
        <v>404</v>
      </c>
      <c r="F3" s="26" t="s">
        <v>405</v>
      </c>
      <c r="G3" s="26" t="s">
        <v>406</v>
      </c>
      <c r="H3" s="26" t="s">
        <v>407</v>
      </c>
      <c r="I3" s="26" t="s">
        <v>408</v>
      </c>
      <c r="J3" s="26" t="s">
        <v>409</v>
      </c>
      <c r="K3" s="23" t="s">
        <v>410</v>
      </c>
      <c r="L3" s="23" t="s">
        <v>411</v>
      </c>
      <c r="M3" s="23" t="s">
        <v>231</v>
      </c>
      <c r="N3" s="23" t="s">
        <v>231</v>
      </c>
      <c r="O3" s="23" t="s">
        <v>53</v>
      </c>
      <c r="P3" s="23" t="s">
        <v>231</v>
      </c>
      <c r="Q3" s="23" t="s">
        <v>412</v>
      </c>
      <c r="R3" s="27" t="n">
        <v>9</v>
      </c>
    </row>
    <row r="4" customFormat="false" ht="60" hidden="false" customHeight="true" outlineLevel="0" collapsed="false">
      <c r="A4" s="28" t="s">
        <v>413</v>
      </c>
      <c r="B4" s="24" t="s">
        <v>14</v>
      </c>
      <c r="C4" s="28" t="s">
        <v>414</v>
      </c>
      <c r="D4" s="37" t="s">
        <v>17</v>
      </c>
      <c r="E4" s="28" t="s">
        <v>404</v>
      </c>
      <c r="F4" s="29" t="s">
        <v>415</v>
      </c>
      <c r="G4" s="29" t="s">
        <v>406</v>
      </c>
      <c r="H4" s="29" t="s">
        <v>407</v>
      </c>
      <c r="I4" s="29" t="s">
        <v>408</v>
      </c>
      <c r="J4" s="29" t="s">
        <v>409</v>
      </c>
      <c r="K4" s="28" t="s">
        <v>410</v>
      </c>
      <c r="L4" s="28" t="s">
        <v>411</v>
      </c>
      <c r="M4" s="28" t="s">
        <v>231</v>
      </c>
      <c r="N4" s="28" t="s">
        <v>231</v>
      </c>
      <c r="O4" s="28" t="s">
        <v>53</v>
      </c>
      <c r="P4" s="28" t="s">
        <v>231</v>
      </c>
      <c r="Q4" s="28" t="s">
        <v>412</v>
      </c>
      <c r="R4" s="30" t="n">
        <v>7</v>
      </c>
    </row>
    <row r="5" customFormat="false" ht="60" hidden="false" customHeight="true" outlineLevel="0" collapsed="false">
      <c r="A5" s="23" t="s">
        <v>416</v>
      </c>
      <c r="B5" s="24" t="s">
        <v>14</v>
      </c>
      <c r="C5" s="23" t="s">
        <v>417</v>
      </c>
      <c r="D5" s="37" t="s">
        <v>17</v>
      </c>
      <c r="E5" s="23" t="s">
        <v>404</v>
      </c>
      <c r="F5" s="26" t="s">
        <v>418</v>
      </c>
      <c r="G5" s="26" t="s">
        <v>406</v>
      </c>
      <c r="H5" s="26" t="s">
        <v>407</v>
      </c>
      <c r="I5" s="26" t="s">
        <v>408</v>
      </c>
      <c r="J5" s="26" t="s">
        <v>409</v>
      </c>
      <c r="K5" s="23" t="s">
        <v>410</v>
      </c>
      <c r="L5" s="23" t="s">
        <v>411</v>
      </c>
      <c r="M5" s="23" t="s">
        <v>231</v>
      </c>
      <c r="N5" s="23" t="s">
        <v>231</v>
      </c>
      <c r="O5" s="23" t="s">
        <v>53</v>
      </c>
      <c r="P5" s="23" t="s">
        <v>231</v>
      </c>
      <c r="Q5" s="23" t="s">
        <v>412</v>
      </c>
      <c r="R5" s="27" t="n">
        <v>8</v>
      </c>
    </row>
    <row r="6" customFormat="false" ht="60" hidden="false" customHeight="true" outlineLevel="0" collapsed="false">
      <c r="A6" s="28" t="s">
        <v>419</v>
      </c>
      <c r="B6" s="24" t="s">
        <v>14</v>
      </c>
      <c r="C6" s="28" t="s">
        <v>420</v>
      </c>
      <c r="D6" s="37" t="s">
        <v>17</v>
      </c>
      <c r="E6" s="28" t="s">
        <v>404</v>
      </c>
      <c r="F6" s="29" t="s">
        <v>421</v>
      </c>
      <c r="G6" s="29" t="s">
        <v>406</v>
      </c>
      <c r="H6" s="29" t="s">
        <v>407</v>
      </c>
      <c r="I6" s="29" t="s">
        <v>408</v>
      </c>
      <c r="J6" s="29" t="s">
        <v>409</v>
      </c>
      <c r="K6" s="28" t="s">
        <v>410</v>
      </c>
      <c r="L6" s="28" t="s">
        <v>411</v>
      </c>
      <c r="M6" s="28" t="s">
        <v>231</v>
      </c>
      <c r="N6" s="28" t="s">
        <v>231</v>
      </c>
      <c r="O6" s="28" t="s">
        <v>53</v>
      </c>
      <c r="P6" s="28" t="s">
        <v>231</v>
      </c>
      <c r="Q6" s="28" t="s">
        <v>412</v>
      </c>
      <c r="R6" s="30" t="n">
        <v>9</v>
      </c>
    </row>
    <row r="7" customFormat="false" ht="60" hidden="false" customHeight="true" outlineLevel="0" collapsed="false">
      <c r="A7" s="23" t="s">
        <v>422</v>
      </c>
      <c r="B7" s="24" t="s">
        <v>14</v>
      </c>
      <c r="C7" s="23" t="s">
        <v>423</v>
      </c>
      <c r="D7" s="37" t="s">
        <v>17</v>
      </c>
      <c r="E7" s="23" t="s">
        <v>404</v>
      </c>
      <c r="F7" s="26" t="s">
        <v>424</v>
      </c>
      <c r="G7" s="26" t="s">
        <v>406</v>
      </c>
      <c r="H7" s="26" t="s">
        <v>407</v>
      </c>
      <c r="I7" s="26" t="s">
        <v>408</v>
      </c>
      <c r="J7" s="26" t="s">
        <v>409</v>
      </c>
      <c r="K7" s="23" t="s">
        <v>410</v>
      </c>
      <c r="L7" s="23" t="s">
        <v>411</v>
      </c>
      <c r="M7" s="23" t="s">
        <v>231</v>
      </c>
      <c r="N7" s="23" t="s">
        <v>231</v>
      </c>
      <c r="O7" s="23" t="s">
        <v>53</v>
      </c>
      <c r="P7" s="23" t="s">
        <v>231</v>
      </c>
      <c r="Q7" s="23" t="s">
        <v>412</v>
      </c>
      <c r="R7" s="27" t="n">
        <v>7</v>
      </c>
    </row>
    <row r="8" customFormat="false" ht="60" hidden="false" customHeight="true" outlineLevel="0" collapsed="false">
      <c r="A8" s="28" t="s">
        <v>425</v>
      </c>
      <c r="B8" s="24" t="s">
        <v>14</v>
      </c>
      <c r="C8" s="28" t="s">
        <v>426</v>
      </c>
      <c r="D8" s="37" t="s">
        <v>17</v>
      </c>
      <c r="E8" s="28" t="s">
        <v>404</v>
      </c>
      <c r="F8" s="29" t="s">
        <v>427</v>
      </c>
      <c r="G8" s="29" t="s">
        <v>406</v>
      </c>
      <c r="H8" s="29" t="s">
        <v>407</v>
      </c>
      <c r="I8" s="29" t="s">
        <v>408</v>
      </c>
      <c r="J8" s="29" t="s">
        <v>409</v>
      </c>
      <c r="K8" s="28" t="s">
        <v>410</v>
      </c>
      <c r="L8" s="28" t="s">
        <v>411</v>
      </c>
      <c r="M8" s="28" t="s">
        <v>231</v>
      </c>
      <c r="N8" s="28" t="s">
        <v>231</v>
      </c>
      <c r="O8" s="28" t="s">
        <v>53</v>
      </c>
      <c r="P8" s="28" t="s">
        <v>231</v>
      </c>
      <c r="Q8" s="28" t="s">
        <v>412</v>
      </c>
      <c r="R8" s="30" t="n">
        <v>8</v>
      </c>
    </row>
    <row r="9" customFormat="false" ht="60" hidden="false" customHeight="true" outlineLevel="0" collapsed="false">
      <c r="A9" s="23" t="s">
        <v>428</v>
      </c>
      <c r="B9" s="31" t="s">
        <v>16</v>
      </c>
      <c r="C9" s="23" t="s">
        <v>429</v>
      </c>
      <c r="D9" s="37" t="s">
        <v>17</v>
      </c>
      <c r="E9" s="23" t="s">
        <v>404</v>
      </c>
      <c r="F9" s="26" t="s">
        <v>430</v>
      </c>
      <c r="G9" s="26" t="s">
        <v>431</v>
      </c>
      <c r="H9" s="26" t="s">
        <v>432</v>
      </c>
      <c r="I9" s="26" t="s">
        <v>433</v>
      </c>
      <c r="J9" s="26" t="s">
        <v>434</v>
      </c>
      <c r="K9" s="23" t="s">
        <v>410</v>
      </c>
      <c r="L9" s="23" t="s">
        <v>411</v>
      </c>
      <c r="M9" s="23" t="s">
        <v>231</v>
      </c>
      <c r="N9" s="23" t="s">
        <v>231</v>
      </c>
      <c r="O9" s="23" t="s">
        <v>53</v>
      </c>
      <c r="P9" s="23" t="s">
        <v>231</v>
      </c>
      <c r="Q9" s="23" t="s">
        <v>412</v>
      </c>
      <c r="R9" s="27" t="n">
        <v>9</v>
      </c>
    </row>
    <row r="10" customFormat="false" ht="60" hidden="false" customHeight="true" outlineLevel="0" collapsed="false">
      <c r="A10" s="28" t="s">
        <v>435</v>
      </c>
      <c r="B10" s="31" t="s">
        <v>16</v>
      </c>
      <c r="C10" s="28" t="s">
        <v>436</v>
      </c>
      <c r="D10" s="37" t="s">
        <v>17</v>
      </c>
      <c r="E10" s="28" t="s">
        <v>404</v>
      </c>
      <c r="F10" s="29" t="s">
        <v>437</v>
      </c>
      <c r="G10" s="29" t="s">
        <v>431</v>
      </c>
      <c r="H10" s="29" t="s">
        <v>432</v>
      </c>
      <c r="I10" s="29" t="s">
        <v>433</v>
      </c>
      <c r="J10" s="29" t="s">
        <v>434</v>
      </c>
      <c r="K10" s="28" t="s">
        <v>410</v>
      </c>
      <c r="L10" s="28" t="s">
        <v>411</v>
      </c>
      <c r="M10" s="28" t="s">
        <v>231</v>
      </c>
      <c r="N10" s="28" t="s">
        <v>231</v>
      </c>
      <c r="O10" s="28" t="s">
        <v>53</v>
      </c>
      <c r="P10" s="28" t="s">
        <v>231</v>
      </c>
      <c r="Q10" s="28" t="s">
        <v>412</v>
      </c>
      <c r="R10" s="30" t="n">
        <v>7</v>
      </c>
    </row>
    <row r="11" customFormat="false" ht="60" hidden="false" customHeight="true" outlineLevel="0" collapsed="false">
      <c r="A11" s="23" t="s">
        <v>438</v>
      </c>
      <c r="B11" s="31" t="s">
        <v>16</v>
      </c>
      <c r="C11" s="23" t="s">
        <v>439</v>
      </c>
      <c r="D11" s="37" t="s">
        <v>17</v>
      </c>
      <c r="E11" s="23" t="s">
        <v>404</v>
      </c>
      <c r="F11" s="26" t="s">
        <v>440</v>
      </c>
      <c r="G11" s="26" t="s">
        <v>431</v>
      </c>
      <c r="H11" s="26" t="s">
        <v>432</v>
      </c>
      <c r="I11" s="26" t="s">
        <v>433</v>
      </c>
      <c r="J11" s="26" t="s">
        <v>434</v>
      </c>
      <c r="K11" s="23" t="s">
        <v>410</v>
      </c>
      <c r="L11" s="23" t="s">
        <v>411</v>
      </c>
      <c r="M11" s="23" t="s">
        <v>231</v>
      </c>
      <c r="N11" s="23" t="s">
        <v>231</v>
      </c>
      <c r="O11" s="23" t="s">
        <v>53</v>
      </c>
      <c r="P11" s="23" t="s">
        <v>231</v>
      </c>
      <c r="Q11" s="23" t="s">
        <v>412</v>
      </c>
      <c r="R11" s="27" t="n">
        <v>8</v>
      </c>
    </row>
    <row r="12" customFormat="false" ht="60" hidden="false" customHeight="true" outlineLevel="0" collapsed="false">
      <c r="A12" s="28" t="s">
        <v>441</v>
      </c>
      <c r="B12" s="31" t="s">
        <v>16</v>
      </c>
      <c r="C12" s="28" t="s">
        <v>442</v>
      </c>
      <c r="D12" s="37" t="s">
        <v>17</v>
      </c>
      <c r="E12" s="28" t="s">
        <v>404</v>
      </c>
      <c r="F12" s="29" t="s">
        <v>443</v>
      </c>
      <c r="G12" s="29" t="s">
        <v>431</v>
      </c>
      <c r="H12" s="29" t="s">
        <v>432</v>
      </c>
      <c r="I12" s="29" t="s">
        <v>433</v>
      </c>
      <c r="J12" s="29" t="s">
        <v>434</v>
      </c>
      <c r="K12" s="28" t="s">
        <v>410</v>
      </c>
      <c r="L12" s="28" t="s">
        <v>411</v>
      </c>
      <c r="M12" s="28" t="s">
        <v>231</v>
      </c>
      <c r="N12" s="28" t="s">
        <v>231</v>
      </c>
      <c r="O12" s="28" t="s">
        <v>53</v>
      </c>
      <c r="P12" s="28" t="s">
        <v>231</v>
      </c>
      <c r="Q12" s="28" t="s">
        <v>412</v>
      </c>
      <c r="R12" s="30" t="n">
        <v>9</v>
      </c>
    </row>
    <row r="13" customFormat="false" ht="60" hidden="false" customHeight="true" outlineLevel="0" collapsed="false">
      <c r="A13" s="23" t="s">
        <v>444</v>
      </c>
      <c r="B13" s="31" t="s">
        <v>16</v>
      </c>
      <c r="C13" s="23" t="s">
        <v>445</v>
      </c>
      <c r="D13" s="37" t="s">
        <v>17</v>
      </c>
      <c r="E13" s="23" t="s">
        <v>404</v>
      </c>
      <c r="F13" s="26" t="s">
        <v>446</v>
      </c>
      <c r="G13" s="26" t="s">
        <v>431</v>
      </c>
      <c r="H13" s="26" t="s">
        <v>432</v>
      </c>
      <c r="I13" s="26" t="s">
        <v>433</v>
      </c>
      <c r="J13" s="26" t="s">
        <v>434</v>
      </c>
      <c r="K13" s="23" t="s">
        <v>410</v>
      </c>
      <c r="L13" s="23" t="s">
        <v>411</v>
      </c>
      <c r="M13" s="23" t="s">
        <v>231</v>
      </c>
      <c r="N13" s="23" t="s">
        <v>231</v>
      </c>
      <c r="O13" s="23" t="s">
        <v>53</v>
      </c>
      <c r="P13" s="23" t="s">
        <v>231</v>
      </c>
      <c r="Q13" s="23" t="s">
        <v>412</v>
      </c>
      <c r="R13" s="27" t="n">
        <v>7</v>
      </c>
    </row>
    <row r="14" customFormat="false" ht="60" hidden="false" customHeight="true" outlineLevel="0" collapsed="false">
      <c r="A14" s="28" t="s">
        <v>447</v>
      </c>
      <c r="B14" s="31" t="s">
        <v>16</v>
      </c>
      <c r="C14" s="28" t="s">
        <v>448</v>
      </c>
      <c r="D14" s="37" t="s">
        <v>17</v>
      </c>
      <c r="E14" s="28" t="s">
        <v>404</v>
      </c>
      <c r="F14" s="29" t="s">
        <v>449</v>
      </c>
      <c r="G14" s="29" t="s">
        <v>431</v>
      </c>
      <c r="H14" s="29" t="s">
        <v>432</v>
      </c>
      <c r="I14" s="29" t="s">
        <v>433</v>
      </c>
      <c r="J14" s="29" t="s">
        <v>434</v>
      </c>
      <c r="K14" s="28" t="s">
        <v>410</v>
      </c>
      <c r="L14" s="28" t="s">
        <v>411</v>
      </c>
      <c r="M14" s="28" t="s">
        <v>231</v>
      </c>
      <c r="N14" s="28" t="s">
        <v>231</v>
      </c>
      <c r="O14" s="28" t="s">
        <v>53</v>
      </c>
      <c r="P14" s="28" t="s">
        <v>231</v>
      </c>
      <c r="Q14" s="28" t="s">
        <v>412</v>
      </c>
      <c r="R14" s="30" t="n">
        <v>8</v>
      </c>
    </row>
    <row r="15" customFormat="false" ht="60" hidden="false" customHeight="true" outlineLevel="0" collapsed="false">
      <c r="A15" s="23" t="s">
        <v>450</v>
      </c>
      <c r="B15" s="32" t="s">
        <v>18</v>
      </c>
      <c r="C15" s="23" t="s">
        <v>451</v>
      </c>
      <c r="D15" s="37" t="s">
        <v>17</v>
      </c>
      <c r="E15" s="23" t="s">
        <v>404</v>
      </c>
      <c r="F15" s="26" t="s">
        <v>452</v>
      </c>
      <c r="G15" s="26" t="s">
        <v>453</v>
      </c>
      <c r="H15" s="26" t="s">
        <v>454</v>
      </c>
      <c r="I15" s="26" t="s">
        <v>455</v>
      </c>
      <c r="J15" s="26" t="s">
        <v>456</v>
      </c>
      <c r="K15" s="23" t="s">
        <v>410</v>
      </c>
      <c r="L15" s="23" t="s">
        <v>411</v>
      </c>
      <c r="M15" s="23" t="s">
        <v>231</v>
      </c>
      <c r="N15" s="23" t="s">
        <v>231</v>
      </c>
      <c r="O15" s="23" t="s">
        <v>53</v>
      </c>
      <c r="P15" s="23" t="s">
        <v>231</v>
      </c>
      <c r="Q15" s="23" t="s">
        <v>412</v>
      </c>
      <c r="R15" s="27" t="n">
        <v>9</v>
      </c>
    </row>
    <row r="16" customFormat="false" ht="60" hidden="false" customHeight="true" outlineLevel="0" collapsed="false">
      <c r="A16" s="28" t="s">
        <v>457</v>
      </c>
      <c r="B16" s="32" t="s">
        <v>18</v>
      </c>
      <c r="C16" s="28" t="s">
        <v>458</v>
      </c>
      <c r="D16" s="37" t="s">
        <v>17</v>
      </c>
      <c r="E16" s="28" t="s">
        <v>404</v>
      </c>
      <c r="F16" s="29" t="s">
        <v>459</v>
      </c>
      <c r="G16" s="29" t="s">
        <v>453</v>
      </c>
      <c r="H16" s="29" t="s">
        <v>454</v>
      </c>
      <c r="I16" s="29" t="s">
        <v>455</v>
      </c>
      <c r="J16" s="29" t="s">
        <v>456</v>
      </c>
      <c r="K16" s="28" t="s">
        <v>410</v>
      </c>
      <c r="L16" s="28" t="s">
        <v>411</v>
      </c>
      <c r="M16" s="28" t="s">
        <v>231</v>
      </c>
      <c r="N16" s="28" t="s">
        <v>231</v>
      </c>
      <c r="O16" s="28" t="s">
        <v>53</v>
      </c>
      <c r="P16" s="28" t="s">
        <v>231</v>
      </c>
      <c r="Q16" s="28" t="s">
        <v>412</v>
      </c>
      <c r="R16" s="30" t="n">
        <v>7</v>
      </c>
    </row>
    <row r="17" customFormat="false" ht="60" hidden="false" customHeight="true" outlineLevel="0" collapsed="false">
      <c r="A17" s="23" t="s">
        <v>460</v>
      </c>
      <c r="B17" s="32" t="s">
        <v>18</v>
      </c>
      <c r="C17" s="23" t="s">
        <v>461</v>
      </c>
      <c r="D17" s="37" t="s">
        <v>17</v>
      </c>
      <c r="E17" s="23" t="s">
        <v>404</v>
      </c>
      <c r="F17" s="26" t="s">
        <v>462</v>
      </c>
      <c r="G17" s="26" t="s">
        <v>453</v>
      </c>
      <c r="H17" s="26" t="s">
        <v>454</v>
      </c>
      <c r="I17" s="26" t="s">
        <v>455</v>
      </c>
      <c r="J17" s="26" t="s">
        <v>456</v>
      </c>
      <c r="K17" s="23" t="s">
        <v>410</v>
      </c>
      <c r="L17" s="23" t="s">
        <v>411</v>
      </c>
      <c r="M17" s="23" t="s">
        <v>231</v>
      </c>
      <c r="N17" s="23" t="s">
        <v>231</v>
      </c>
      <c r="O17" s="23" t="s">
        <v>53</v>
      </c>
      <c r="P17" s="23" t="s">
        <v>231</v>
      </c>
      <c r="Q17" s="23" t="s">
        <v>412</v>
      </c>
      <c r="R17" s="27" t="n">
        <v>8</v>
      </c>
    </row>
    <row r="18" customFormat="false" ht="60" hidden="false" customHeight="true" outlineLevel="0" collapsed="false">
      <c r="A18" s="28" t="s">
        <v>463</v>
      </c>
      <c r="B18" s="32" t="s">
        <v>18</v>
      </c>
      <c r="C18" s="28" t="s">
        <v>464</v>
      </c>
      <c r="D18" s="37" t="s">
        <v>17</v>
      </c>
      <c r="E18" s="28" t="s">
        <v>404</v>
      </c>
      <c r="F18" s="29" t="s">
        <v>465</v>
      </c>
      <c r="G18" s="29" t="s">
        <v>453</v>
      </c>
      <c r="H18" s="29" t="s">
        <v>454</v>
      </c>
      <c r="I18" s="29" t="s">
        <v>455</v>
      </c>
      <c r="J18" s="29" t="s">
        <v>456</v>
      </c>
      <c r="K18" s="28" t="s">
        <v>410</v>
      </c>
      <c r="L18" s="28" t="s">
        <v>411</v>
      </c>
      <c r="M18" s="28" t="s">
        <v>231</v>
      </c>
      <c r="N18" s="28" t="s">
        <v>231</v>
      </c>
      <c r="O18" s="28" t="s">
        <v>53</v>
      </c>
      <c r="P18" s="28" t="s">
        <v>231</v>
      </c>
      <c r="Q18" s="28" t="s">
        <v>412</v>
      </c>
      <c r="R18" s="30" t="n">
        <v>9</v>
      </c>
    </row>
    <row r="19" customFormat="false" ht="60" hidden="false" customHeight="true" outlineLevel="0" collapsed="false">
      <c r="A19" s="23" t="s">
        <v>466</v>
      </c>
      <c r="B19" s="32" t="s">
        <v>18</v>
      </c>
      <c r="C19" s="23" t="s">
        <v>467</v>
      </c>
      <c r="D19" s="37" t="s">
        <v>17</v>
      </c>
      <c r="E19" s="23" t="s">
        <v>404</v>
      </c>
      <c r="F19" s="26" t="s">
        <v>468</v>
      </c>
      <c r="G19" s="26" t="s">
        <v>453</v>
      </c>
      <c r="H19" s="26" t="s">
        <v>454</v>
      </c>
      <c r="I19" s="26" t="s">
        <v>455</v>
      </c>
      <c r="J19" s="26" t="s">
        <v>456</v>
      </c>
      <c r="K19" s="23" t="s">
        <v>410</v>
      </c>
      <c r="L19" s="23" t="s">
        <v>411</v>
      </c>
      <c r="M19" s="23" t="s">
        <v>231</v>
      </c>
      <c r="N19" s="23" t="s">
        <v>231</v>
      </c>
      <c r="O19" s="23" t="s">
        <v>53</v>
      </c>
      <c r="P19" s="23" t="s">
        <v>231</v>
      </c>
      <c r="Q19" s="23" t="s">
        <v>412</v>
      </c>
      <c r="R19" s="27" t="n">
        <v>7</v>
      </c>
    </row>
    <row r="20" customFormat="false" ht="60" hidden="false" customHeight="true" outlineLevel="0" collapsed="false">
      <c r="A20" s="28" t="s">
        <v>469</v>
      </c>
      <c r="B20" s="32" t="s">
        <v>18</v>
      </c>
      <c r="C20" s="28" t="s">
        <v>470</v>
      </c>
      <c r="D20" s="37" t="s">
        <v>17</v>
      </c>
      <c r="E20" s="28" t="s">
        <v>404</v>
      </c>
      <c r="F20" s="29" t="s">
        <v>471</v>
      </c>
      <c r="G20" s="29" t="s">
        <v>453</v>
      </c>
      <c r="H20" s="29" t="s">
        <v>454</v>
      </c>
      <c r="I20" s="29" t="s">
        <v>455</v>
      </c>
      <c r="J20" s="29" t="s">
        <v>456</v>
      </c>
      <c r="K20" s="28" t="s">
        <v>410</v>
      </c>
      <c r="L20" s="28" t="s">
        <v>411</v>
      </c>
      <c r="M20" s="28" t="s">
        <v>231</v>
      </c>
      <c r="N20" s="28" t="s">
        <v>231</v>
      </c>
      <c r="O20" s="28" t="s">
        <v>53</v>
      </c>
      <c r="P20" s="28" t="s">
        <v>231</v>
      </c>
      <c r="Q20" s="28" t="s">
        <v>412</v>
      </c>
      <c r="R20" s="30" t="n">
        <v>8</v>
      </c>
    </row>
    <row r="21" customFormat="false" ht="60" hidden="false" customHeight="true" outlineLevel="0" collapsed="false">
      <c r="A21" s="23" t="s">
        <v>472</v>
      </c>
      <c r="B21" s="33" t="s">
        <v>20</v>
      </c>
      <c r="C21" s="23" t="s">
        <v>473</v>
      </c>
      <c r="D21" s="37" t="s">
        <v>17</v>
      </c>
      <c r="E21" s="23" t="s">
        <v>404</v>
      </c>
      <c r="F21" s="26" t="s">
        <v>474</v>
      </c>
      <c r="G21" s="26" t="s">
        <v>475</v>
      </c>
      <c r="H21" s="26" t="s">
        <v>476</v>
      </c>
      <c r="I21" s="26" t="s">
        <v>477</v>
      </c>
      <c r="J21" s="26" t="s">
        <v>478</v>
      </c>
      <c r="K21" s="23" t="s">
        <v>410</v>
      </c>
      <c r="L21" s="23" t="s">
        <v>411</v>
      </c>
      <c r="M21" s="23" t="s">
        <v>231</v>
      </c>
      <c r="N21" s="23" t="s">
        <v>231</v>
      </c>
      <c r="O21" s="23" t="s">
        <v>53</v>
      </c>
      <c r="P21" s="23" t="s">
        <v>231</v>
      </c>
      <c r="Q21" s="23" t="s">
        <v>412</v>
      </c>
      <c r="R21" s="27" t="n">
        <v>9</v>
      </c>
    </row>
    <row r="22" customFormat="false" ht="60" hidden="false" customHeight="true" outlineLevel="0" collapsed="false">
      <c r="A22" s="28" t="s">
        <v>479</v>
      </c>
      <c r="B22" s="33" t="s">
        <v>20</v>
      </c>
      <c r="C22" s="28" t="s">
        <v>480</v>
      </c>
      <c r="D22" s="37" t="s">
        <v>17</v>
      </c>
      <c r="E22" s="28" t="s">
        <v>404</v>
      </c>
      <c r="F22" s="29" t="s">
        <v>481</v>
      </c>
      <c r="G22" s="29" t="s">
        <v>475</v>
      </c>
      <c r="H22" s="29" t="s">
        <v>476</v>
      </c>
      <c r="I22" s="29" t="s">
        <v>477</v>
      </c>
      <c r="J22" s="29" t="s">
        <v>478</v>
      </c>
      <c r="K22" s="28" t="s">
        <v>410</v>
      </c>
      <c r="L22" s="28" t="s">
        <v>411</v>
      </c>
      <c r="M22" s="28" t="s">
        <v>231</v>
      </c>
      <c r="N22" s="28" t="s">
        <v>231</v>
      </c>
      <c r="O22" s="28" t="s">
        <v>53</v>
      </c>
      <c r="P22" s="28" t="s">
        <v>231</v>
      </c>
      <c r="Q22" s="28" t="s">
        <v>412</v>
      </c>
      <c r="R22" s="30" t="n">
        <v>7</v>
      </c>
    </row>
    <row r="23" customFormat="false" ht="60" hidden="false" customHeight="true" outlineLevel="0" collapsed="false">
      <c r="A23" s="23" t="s">
        <v>482</v>
      </c>
      <c r="B23" s="33" t="s">
        <v>20</v>
      </c>
      <c r="C23" s="23" t="s">
        <v>483</v>
      </c>
      <c r="D23" s="37" t="s">
        <v>17</v>
      </c>
      <c r="E23" s="23" t="s">
        <v>404</v>
      </c>
      <c r="F23" s="26" t="s">
        <v>484</v>
      </c>
      <c r="G23" s="26" t="s">
        <v>475</v>
      </c>
      <c r="H23" s="26" t="s">
        <v>476</v>
      </c>
      <c r="I23" s="26" t="s">
        <v>477</v>
      </c>
      <c r="J23" s="26" t="s">
        <v>478</v>
      </c>
      <c r="K23" s="23" t="s">
        <v>410</v>
      </c>
      <c r="L23" s="23" t="s">
        <v>411</v>
      </c>
      <c r="M23" s="23" t="s">
        <v>231</v>
      </c>
      <c r="N23" s="23" t="s">
        <v>231</v>
      </c>
      <c r="O23" s="23" t="s">
        <v>53</v>
      </c>
      <c r="P23" s="23" t="s">
        <v>231</v>
      </c>
      <c r="Q23" s="23" t="s">
        <v>412</v>
      </c>
      <c r="R23" s="27" t="n">
        <v>8</v>
      </c>
    </row>
    <row r="24" customFormat="false" ht="60" hidden="false" customHeight="true" outlineLevel="0" collapsed="false">
      <c r="A24" s="28" t="s">
        <v>485</v>
      </c>
      <c r="B24" s="33" t="s">
        <v>20</v>
      </c>
      <c r="C24" s="28" t="s">
        <v>486</v>
      </c>
      <c r="D24" s="37" t="s">
        <v>17</v>
      </c>
      <c r="E24" s="28" t="s">
        <v>404</v>
      </c>
      <c r="F24" s="29" t="s">
        <v>487</v>
      </c>
      <c r="G24" s="29" t="s">
        <v>475</v>
      </c>
      <c r="H24" s="29" t="s">
        <v>476</v>
      </c>
      <c r="I24" s="29" t="s">
        <v>477</v>
      </c>
      <c r="J24" s="29" t="s">
        <v>478</v>
      </c>
      <c r="K24" s="28" t="s">
        <v>410</v>
      </c>
      <c r="L24" s="28" t="s">
        <v>411</v>
      </c>
      <c r="M24" s="28" t="s">
        <v>231</v>
      </c>
      <c r="N24" s="28" t="s">
        <v>231</v>
      </c>
      <c r="O24" s="28" t="s">
        <v>53</v>
      </c>
      <c r="P24" s="28" t="s">
        <v>231</v>
      </c>
      <c r="Q24" s="28" t="s">
        <v>412</v>
      </c>
      <c r="R24" s="30" t="n">
        <v>9</v>
      </c>
    </row>
    <row r="25" customFormat="false" ht="60" hidden="false" customHeight="true" outlineLevel="0" collapsed="false">
      <c r="A25" s="23" t="s">
        <v>488</v>
      </c>
      <c r="B25" s="33" t="s">
        <v>20</v>
      </c>
      <c r="C25" s="23" t="s">
        <v>489</v>
      </c>
      <c r="D25" s="37" t="s">
        <v>17</v>
      </c>
      <c r="E25" s="23" t="s">
        <v>404</v>
      </c>
      <c r="F25" s="26" t="s">
        <v>490</v>
      </c>
      <c r="G25" s="26" t="s">
        <v>475</v>
      </c>
      <c r="H25" s="26" t="s">
        <v>476</v>
      </c>
      <c r="I25" s="26" t="s">
        <v>477</v>
      </c>
      <c r="J25" s="26" t="s">
        <v>478</v>
      </c>
      <c r="K25" s="23" t="s">
        <v>410</v>
      </c>
      <c r="L25" s="23" t="s">
        <v>411</v>
      </c>
      <c r="M25" s="23" t="s">
        <v>231</v>
      </c>
      <c r="N25" s="23" t="s">
        <v>231</v>
      </c>
      <c r="O25" s="23" t="s">
        <v>53</v>
      </c>
      <c r="P25" s="23" t="s">
        <v>231</v>
      </c>
      <c r="Q25" s="23" t="s">
        <v>412</v>
      </c>
      <c r="R25" s="27" t="n">
        <v>7</v>
      </c>
    </row>
    <row r="26" customFormat="false" ht="60" hidden="false" customHeight="true" outlineLevel="0" collapsed="false">
      <c r="A26" s="28" t="s">
        <v>491</v>
      </c>
      <c r="B26" s="33" t="s">
        <v>20</v>
      </c>
      <c r="C26" s="28" t="s">
        <v>492</v>
      </c>
      <c r="D26" s="37" t="s">
        <v>17</v>
      </c>
      <c r="E26" s="28" t="s">
        <v>404</v>
      </c>
      <c r="F26" s="29" t="s">
        <v>493</v>
      </c>
      <c r="G26" s="29" t="s">
        <v>475</v>
      </c>
      <c r="H26" s="29" t="s">
        <v>476</v>
      </c>
      <c r="I26" s="29" t="s">
        <v>477</v>
      </c>
      <c r="J26" s="29" t="s">
        <v>478</v>
      </c>
      <c r="K26" s="28" t="s">
        <v>410</v>
      </c>
      <c r="L26" s="28" t="s">
        <v>411</v>
      </c>
      <c r="M26" s="28" t="s">
        <v>231</v>
      </c>
      <c r="N26" s="28" t="s">
        <v>231</v>
      </c>
      <c r="O26" s="28" t="s">
        <v>53</v>
      </c>
      <c r="P26" s="28" t="s">
        <v>231</v>
      </c>
      <c r="Q26" s="28" t="s">
        <v>412</v>
      </c>
      <c r="R26" s="30" t="n">
        <v>8</v>
      </c>
    </row>
    <row r="27" customFormat="false" ht="60" hidden="false" customHeight="true" outlineLevel="0" collapsed="false">
      <c r="A27" s="23" t="s">
        <v>494</v>
      </c>
      <c r="B27" s="34" t="s">
        <v>22</v>
      </c>
      <c r="C27" s="23" t="s">
        <v>495</v>
      </c>
      <c r="D27" s="37" t="s">
        <v>17</v>
      </c>
      <c r="E27" s="23" t="s">
        <v>404</v>
      </c>
      <c r="F27" s="26" t="s">
        <v>496</v>
      </c>
      <c r="G27" s="26" t="s">
        <v>497</v>
      </c>
      <c r="H27" s="26" t="s">
        <v>498</v>
      </c>
      <c r="I27" s="26" t="s">
        <v>499</v>
      </c>
      <c r="J27" s="26" t="s">
        <v>500</v>
      </c>
      <c r="K27" s="23" t="s">
        <v>410</v>
      </c>
      <c r="L27" s="23" t="s">
        <v>411</v>
      </c>
      <c r="M27" s="23" t="s">
        <v>231</v>
      </c>
      <c r="N27" s="23" t="s">
        <v>231</v>
      </c>
      <c r="O27" s="23" t="s">
        <v>53</v>
      </c>
      <c r="P27" s="23" t="s">
        <v>231</v>
      </c>
      <c r="Q27" s="23" t="s">
        <v>412</v>
      </c>
      <c r="R27" s="27" t="n">
        <v>9</v>
      </c>
    </row>
    <row r="28" customFormat="false" ht="60" hidden="false" customHeight="true" outlineLevel="0" collapsed="false">
      <c r="A28" s="28" t="s">
        <v>501</v>
      </c>
      <c r="B28" s="34" t="s">
        <v>22</v>
      </c>
      <c r="C28" s="28" t="s">
        <v>502</v>
      </c>
      <c r="D28" s="37" t="s">
        <v>17</v>
      </c>
      <c r="E28" s="28" t="s">
        <v>404</v>
      </c>
      <c r="F28" s="29" t="s">
        <v>503</v>
      </c>
      <c r="G28" s="29" t="s">
        <v>497</v>
      </c>
      <c r="H28" s="29" t="s">
        <v>498</v>
      </c>
      <c r="I28" s="29" t="s">
        <v>499</v>
      </c>
      <c r="J28" s="29" t="s">
        <v>500</v>
      </c>
      <c r="K28" s="28" t="s">
        <v>410</v>
      </c>
      <c r="L28" s="28" t="s">
        <v>411</v>
      </c>
      <c r="M28" s="28" t="s">
        <v>231</v>
      </c>
      <c r="N28" s="28" t="s">
        <v>231</v>
      </c>
      <c r="O28" s="28" t="s">
        <v>53</v>
      </c>
      <c r="P28" s="28" t="s">
        <v>231</v>
      </c>
      <c r="Q28" s="28" t="s">
        <v>412</v>
      </c>
      <c r="R28" s="30" t="n">
        <v>7</v>
      </c>
    </row>
    <row r="29" customFormat="false" ht="60" hidden="false" customHeight="true" outlineLevel="0" collapsed="false">
      <c r="A29" s="23" t="s">
        <v>504</v>
      </c>
      <c r="B29" s="34" t="s">
        <v>22</v>
      </c>
      <c r="C29" s="23" t="s">
        <v>505</v>
      </c>
      <c r="D29" s="37" t="s">
        <v>17</v>
      </c>
      <c r="E29" s="23" t="s">
        <v>404</v>
      </c>
      <c r="F29" s="26" t="s">
        <v>506</v>
      </c>
      <c r="G29" s="26" t="s">
        <v>497</v>
      </c>
      <c r="H29" s="26" t="s">
        <v>498</v>
      </c>
      <c r="I29" s="26" t="s">
        <v>499</v>
      </c>
      <c r="J29" s="26" t="s">
        <v>500</v>
      </c>
      <c r="K29" s="23" t="s">
        <v>410</v>
      </c>
      <c r="L29" s="23" t="s">
        <v>411</v>
      </c>
      <c r="M29" s="23" t="s">
        <v>231</v>
      </c>
      <c r="N29" s="23" t="s">
        <v>231</v>
      </c>
      <c r="O29" s="23" t="s">
        <v>53</v>
      </c>
      <c r="P29" s="23" t="s">
        <v>231</v>
      </c>
      <c r="Q29" s="23" t="s">
        <v>412</v>
      </c>
      <c r="R29" s="27" t="n">
        <v>8</v>
      </c>
    </row>
    <row r="30" customFormat="false" ht="60" hidden="false" customHeight="true" outlineLevel="0" collapsed="false">
      <c r="A30" s="28" t="s">
        <v>507</v>
      </c>
      <c r="B30" s="34" t="s">
        <v>22</v>
      </c>
      <c r="C30" s="28" t="s">
        <v>508</v>
      </c>
      <c r="D30" s="37" t="s">
        <v>17</v>
      </c>
      <c r="E30" s="28" t="s">
        <v>404</v>
      </c>
      <c r="F30" s="29" t="s">
        <v>509</v>
      </c>
      <c r="G30" s="29" t="s">
        <v>497</v>
      </c>
      <c r="H30" s="29" t="s">
        <v>498</v>
      </c>
      <c r="I30" s="29" t="s">
        <v>499</v>
      </c>
      <c r="J30" s="29" t="s">
        <v>500</v>
      </c>
      <c r="K30" s="28" t="s">
        <v>410</v>
      </c>
      <c r="L30" s="28" t="s">
        <v>411</v>
      </c>
      <c r="M30" s="28" t="s">
        <v>231</v>
      </c>
      <c r="N30" s="28" t="s">
        <v>231</v>
      </c>
      <c r="O30" s="28" t="s">
        <v>53</v>
      </c>
      <c r="P30" s="28" t="s">
        <v>231</v>
      </c>
      <c r="Q30" s="28" t="s">
        <v>412</v>
      </c>
      <c r="R30" s="30" t="n">
        <v>9</v>
      </c>
    </row>
    <row r="31" customFormat="false" ht="60" hidden="false" customHeight="true" outlineLevel="0" collapsed="false">
      <c r="A31" s="23" t="s">
        <v>510</v>
      </c>
      <c r="B31" s="34" t="s">
        <v>22</v>
      </c>
      <c r="C31" s="23" t="s">
        <v>511</v>
      </c>
      <c r="D31" s="37" t="s">
        <v>17</v>
      </c>
      <c r="E31" s="23" t="s">
        <v>404</v>
      </c>
      <c r="F31" s="26" t="s">
        <v>512</v>
      </c>
      <c r="G31" s="26" t="s">
        <v>497</v>
      </c>
      <c r="H31" s="26" t="s">
        <v>498</v>
      </c>
      <c r="I31" s="26" t="s">
        <v>499</v>
      </c>
      <c r="J31" s="26" t="s">
        <v>500</v>
      </c>
      <c r="K31" s="23" t="s">
        <v>410</v>
      </c>
      <c r="L31" s="23" t="s">
        <v>411</v>
      </c>
      <c r="M31" s="23" t="s">
        <v>231</v>
      </c>
      <c r="N31" s="23" t="s">
        <v>231</v>
      </c>
      <c r="O31" s="23" t="s">
        <v>53</v>
      </c>
      <c r="P31" s="23" t="s">
        <v>231</v>
      </c>
      <c r="Q31" s="23" t="s">
        <v>412</v>
      </c>
      <c r="R31" s="27" t="n">
        <v>7</v>
      </c>
    </row>
    <row r="32" customFormat="false" ht="60" hidden="false" customHeight="true" outlineLevel="0" collapsed="false">
      <c r="A32" s="28" t="s">
        <v>513</v>
      </c>
      <c r="B32" s="34" t="s">
        <v>22</v>
      </c>
      <c r="C32" s="28" t="s">
        <v>514</v>
      </c>
      <c r="D32" s="37" t="s">
        <v>17</v>
      </c>
      <c r="E32" s="28" t="s">
        <v>404</v>
      </c>
      <c r="F32" s="29" t="s">
        <v>515</v>
      </c>
      <c r="G32" s="29" t="s">
        <v>497</v>
      </c>
      <c r="H32" s="29" t="s">
        <v>498</v>
      </c>
      <c r="I32" s="29" t="s">
        <v>499</v>
      </c>
      <c r="J32" s="29" t="s">
        <v>500</v>
      </c>
      <c r="K32" s="28" t="s">
        <v>410</v>
      </c>
      <c r="L32" s="28" t="s">
        <v>411</v>
      </c>
      <c r="M32" s="28" t="s">
        <v>231</v>
      </c>
      <c r="N32" s="28" t="s">
        <v>231</v>
      </c>
      <c r="O32" s="28" t="s">
        <v>53</v>
      </c>
      <c r="P32" s="28" t="s">
        <v>231</v>
      </c>
      <c r="Q32" s="28" t="s">
        <v>412</v>
      </c>
      <c r="R32" s="30" t="n">
        <v>8</v>
      </c>
    </row>
    <row r="33" customFormat="false" ht="60" hidden="false" customHeight="true" outlineLevel="0" collapsed="false">
      <c r="A33" s="23" t="s">
        <v>516</v>
      </c>
      <c r="B33" s="35" t="s">
        <v>23</v>
      </c>
      <c r="C33" s="23" t="s">
        <v>517</v>
      </c>
      <c r="D33" s="37" t="s">
        <v>17</v>
      </c>
      <c r="E33" s="23" t="s">
        <v>404</v>
      </c>
      <c r="F33" s="26" t="s">
        <v>518</v>
      </c>
      <c r="G33" s="26" t="s">
        <v>519</v>
      </c>
      <c r="H33" s="26" t="s">
        <v>520</v>
      </c>
      <c r="I33" s="26" t="s">
        <v>521</v>
      </c>
      <c r="J33" s="26" t="s">
        <v>522</v>
      </c>
      <c r="K33" s="23" t="s">
        <v>410</v>
      </c>
      <c r="L33" s="23" t="s">
        <v>411</v>
      </c>
      <c r="M33" s="23" t="s">
        <v>231</v>
      </c>
      <c r="N33" s="23" t="s">
        <v>231</v>
      </c>
      <c r="O33" s="23" t="s">
        <v>53</v>
      </c>
      <c r="P33" s="23" t="s">
        <v>231</v>
      </c>
      <c r="Q33" s="23" t="s">
        <v>412</v>
      </c>
      <c r="R33" s="27" t="n">
        <v>9</v>
      </c>
    </row>
    <row r="34" customFormat="false" ht="60" hidden="false" customHeight="true" outlineLevel="0" collapsed="false">
      <c r="A34" s="28" t="s">
        <v>523</v>
      </c>
      <c r="B34" s="35" t="s">
        <v>23</v>
      </c>
      <c r="C34" s="28" t="s">
        <v>524</v>
      </c>
      <c r="D34" s="37" t="s">
        <v>17</v>
      </c>
      <c r="E34" s="28" t="s">
        <v>404</v>
      </c>
      <c r="F34" s="29" t="s">
        <v>525</v>
      </c>
      <c r="G34" s="29" t="s">
        <v>519</v>
      </c>
      <c r="H34" s="29" t="s">
        <v>520</v>
      </c>
      <c r="I34" s="29" t="s">
        <v>521</v>
      </c>
      <c r="J34" s="29" t="s">
        <v>522</v>
      </c>
      <c r="K34" s="28" t="s">
        <v>410</v>
      </c>
      <c r="L34" s="28" t="s">
        <v>411</v>
      </c>
      <c r="M34" s="28" t="s">
        <v>231</v>
      </c>
      <c r="N34" s="28" t="s">
        <v>231</v>
      </c>
      <c r="O34" s="28" t="s">
        <v>53</v>
      </c>
      <c r="P34" s="28" t="s">
        <v>231</v>
      </c>
      <c r="Q34" s="28" t="s">
        <v>412</v>
      </c>
      <c r="R34" s="30" t="n">
        <v>7</v>
      </c>
    </row>
    <row r="35" customFormat="false" ht="60" hidden="false" customHeight="true" outlineLevel="0" collapsed="false">
      <c r="A35" s="23" t="s">
        <v>526</v>
      </c>
      <c r="B35" s="35" t="s">
        <v>23</v>
      </c>
      <c r="C35" s="23" t="s">
        <v>527</v>
      </c>
      <c r="D35" s="37" t="s">
        <v>17</v>
      </c>
      <c r="E35" s="23" t="s">
        <v>404</v>
      </c>
      <c r="F35" s="26" t="s">
        <v>528</v>
      </c>
      <c r="G35" s="26" t="s">
        <v>519</v>
      </c>
      <c r="H35" s="26" t="s">
        <v>520</v>
      </c>
      <c r="I35" s="26" t="s">
        <v>521</v>
      </c>
      <c r="J35" s="26" t="s">
        <v>522</v>
      </c>
      <c r="K35" s="23" t="s">
        <v>410</v>
      </c>
      <c r="L35" s="23" t="s">
        <v>411</v>
      </c>
      <c r="M35" s="23" t="s">
        <v>231</v>
      </c>
      <c r="N35" s="23" t="s">
        <v>231</v>
      </c>
      <c r="O35" s="23" t="s">
        <v>53</v>
      </c>
      <c r="P35" s="23" t="s">
        <v>231</v>
      </c>
      <c r="Q35" s="23" t="s">
        <v>412</v>
      </c>
      <c r="R35" s="27" t="n">
        <v>8</v>
      </c>
    </row>
    <row r="36" customFormat="false" ht="60" hidden="false" customHeight="true" outlineLevel="0" collapsed="false">
      <c r="A36" s="28" t="s">
        <v>529</v>
      </c>
      <c r="B36" s="35" t="s">
        <v>23</v>
      </c>
      <c r="C36" s="28" t="s">
        <v>530</v>
      </c>
      <c r="D36" s="37" t="s">
        <v>17</v>
      </c>
      <c r="E36" s="28" t="s">
        <v>404</v>
      </c>
      <c r="F36" s="29" t="s">
        <v>531</v>
      </c>
      <c r="G36" s="29" t="s">
        <v>519</v>
      </c>
      <c r="H36" s="29" t="s">
        <v>520</v>
      </c>
      <c r="I36" s="29" t="s">
        <v>521</v>
      </c>
      <c r="J36" s="29" t="s">
        <v>522</v>
      </c>
      <c r="K36" s="28" t="s">
        <v>410</v>
      </c>
      <c r="L36" s="28" t="s">
        <v>411</v>
      </c>
      <c r="M36" s="28" t="s">
        <v>231</v>
      </c>
      <c r="N36" s="28" t="s">
        <v>231</v>
      </c>
      <c r="O36" s="28" t="s">
        <v>53</v>
      </c>
      <c r="P36" s="28" t="s">
        <v>231</v>
      </c>
      <c r="Q36" s="28" t="s">
        <v>412</v>
      </c>
      <c r="R36" s="30" t="n">
        <v>9</v>
      </c>
    </row>
    <row r="37" customFormat="false" ht="60" hidden="false" customHeight="true" outlineLevel="0" collapsed="false">
      <c r="A37" s="23" t="s">
        <v>532</v>
      </c>
      <c r="B37" s="35" t="s">
        <v>23</v>
      </c>
      <c r="C37" s="23" t="s">
        <v>533</v>
      </c>
      <c r="D37" s="37" t="s">
        <v>17</v>
      </c>
      <c r="E37" s="23" t="s">
        <v>404</v>
      </c>
      <c r="F37" s="26" t="s">
        <v>534</v>
      </c>
      <c r="G37" s="26" t="s">
        <v>519</v>
      </c>
      <c r="H37" s="26" t="s">
        <v>520</v>
      </c>
      <c r="I37" s="26" t="s">
        <v>521</v>
      </c>
      <c r="J37" s="26" t="s">
        <v>522</v>
      </c>
      <c r="K37" s="23" t="s">
        <v>410</v>
      </c>
      <c r="L37" s="23" t="s">
        <v>411</v>
      </c>
      <c r="M37" s="23" t="s">
        <v>231</v>
      </c>
      <c r="N37" s="23" t="s">
        <v>231</v>
      </c>
      <c r="O37" s="23" t="s">
        <v>53</v>
      </c>
      <c r="P37" s="23" t="s">
        <v>231</v>
      </c>
      <c r="Q37" s="23" t="s">
        <v>412</v>
      </c>
      <c r="R37" s="27" t="n">
        <v>7</v>
      </c>
    </row>
    <row r="38" customFormat="false" ht="60" hidden="false" customHeight="true" outlineLevel="0" collapsed="false">
      <c r="A38" s="28" t="s">
        <v>535</v>
      </c>
      <c r="B38" s="35" t="s">
        <v>23</v>
      </c>
      <c r="C38" s="28" t="s">
        <v>536</v>
      </c>
      <c r="D38" s="37" t="s">
        <v>17</v>
      </c>
      <c r="E38" s="28" t="s">
        <v>404</v>
      </c>
      <c r="F38" s="29" t="s">
        <v>537</v>
      </c>
      <c r="G38" s="29" t="s">
        <v>519</v>
      </c>
      <c r="H38" s="29" t="s">
        <v>520</v>
      </c>
      <c r="I38" s="29" t="s">
        <v>521</v>
      </c>
      <c r="J38" s="29" t="s">
        <v>522</v>
      </c>
      <c r="K38" s="28" t="s">
        <v>410</v>
      </c>
      <c r="L38" s="28" t="s">
        <v>411</v>
      </c>
      <c r="M38" s="28" t="s">
        <v>231</v>
      </c>
      <c r="N38" s="28" t="s">
        <v>231</v>
      </c>
      <c r="O38" s="28" t="s">
        <v>53</v>
      </c>
      <c r="P38" s="28" t="s">
        <v>231</v>
      </c>
      <c r="Q38" s="28" t="s">
        <v>412</v>
      </c>
      <c r="R38" s="30" t="n">
        <v>8</v>
      </c>
    </row>
  </sheetData>
  <mergeCells count="1">
    <mergeCell ref="A1:R1"/>
  </mergeCells>
  <conditionalFormatting sqref="R3:R38">
    <cfRule type="expression" priority="2" aboveAverage="0" equalAverage="0" bottom="0" percent="0" rank="0" text="" dxfId="18">
      <formula>R3&gt;=8</formula>
    </cfRule>
    <cfRule type="expression" priority="3" aboveAverage="0" equalAverage="0" bottom="0" percent="0" rank="0" text="" dxfId="19">
      <formula>R3&lt;=3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2" min="11" style="0" width="16"/>
    <col collapsed="false" customWidth="true" hidden="false" outlineLevel="0" max="13" min="13" style="0" width="13"/>
    <col collapsed="false" customWidth="true" hidden="false" outlineLevel="0" max="16" min="14" style="0" width="14"/>
    <col collapsed="false" customWidth="true" hidden="false" outlineLevel="0" max="17" min="17" style="0" width="20"/>
    <col collapsed="false" customWidth="true" hidden="false" outlineLevel="0" max="18" min="18" style="0" width="16"/>
  </cols>
  <sheetData>
    <row r="1" customFormat="false" ht="25.5" hidden="false" customHeight="true" outlineLevel="0" collapsed="false">
      <c r="A1" s="21" t="s">
        <v>538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33.75" hidden="false" customHeight="true" outlineLevel="0" collapsed="false">
      <c r="A2" s="22" t="s">
        <v>26</v>
      </c>
      <c r="B2" s="22" t="s">
        <v>12</v>
      </c>
      <c r="C2" s="22" t="s">
        <v>27</v>
      </c>
      <c r="D2" s="22" t="s">
        <v>10</v>
      </c>
      <c r="E2" s="22" t="s">
        <v>28</v>
      </c>
      <c r="F2" s="22" t="s">
        <v>29</v>
      </c>
      <c r="G2" s="22" t="s">
        <v>30</v>
      </c>
      <c r="H2" s="22" t="s">
        <v>31</v>
      </c>
      <c r="I2" s="22" t="s">
        <v>32</v>
      </c>
      <c r="J2" s="22" t="s">
        <v>33</v>
      </c>
      <c r="K2" s="22" t="s">
        <v>34</v>
      </c>
      <c r="L2" s="22" t="s">
        <v>35</v>
      </c>
      <c r="M2" s="22" t="s">
        <v>36</v>
      </c>
      <c r="N2" s="22" t="s">
        <v>37</v>
      </c>
      <c r="O2" s="22" t="s">
        <v>38</v>
      </c>
      <c r="P2" s="22" t="s">
        <v>39</v>
      </c>
      <c r="Q2" s="22" t="s">
        <v>40</v>
      </c>
      <c r="R2" s="22" t="s">
        <v>41</v>
      </c>
    </row>
    <row r="3" customFormat="false" ht="60" hidden="false" customHeight="true" outlineLevel="0" collapsed="false">
      <c r="A3" s="23" t="s">
        <v>539</v>
      </c>
      <c r="B3" s="24" t="s">
        <v>14</v>
      </c>
      <c r="C3" s="23" t="s">
        <v>540</v>
      </c>
      <c r="D3" s="38" t="s">
        <v>19</v>
      </c>
      <c r="E3" s="23" t="s">
        <v>541</v>
      </c>
      <c r="F3" s="26" t="s">
        <v>542</v>
      </c>
      <c r="G3" s="26" t="s">
        <v>543</v>
      </c>
      <c r="H3" s="26" t="s">
        <v>544</v>
      </c>
      <c r="I3" s="26" t="s">
        <v>545</v>
      </c>
      <c r="J3" s="26" t="s">
        <v>546</v>
      </c>
      <c r="K3" s="23" t="s">
        <v>547</v>
      </c>
      <c r="L3" s="23" t="s">
        <v>548</v>
      </c>
      <c r="M3" s="23" t="s">
        <v>231</v>
      </c>
      <c r="N3" s="23" t="s">
        <v>53</v>
      </c>
      <c r="O3" s="23" t="s">
        <v>231</v>
      </c>
      <c r="P3" s="23" t="s">
        <v>53</v>
      </c>
      <c r="Q3" s="23" t="s">
        <v>549</v>
      </c>
      <c r="R3" s="27" t="n">
        <v>9</v>
      </c>
    </row>
    <row r="4" customFormat="false" ht="60" hidden="false" customHeight="true" outlineLevel="0" collapsed="false">
      <c r="A4" s="28" t="s">
        <v>550</v>
      </c>
      <c r="B4" s="33" t="s">
        <v>20</v>
      </c>
      <c r="C4" s="28" t="s">
        <v>551</v>
      </c>
      <c r="D4" s="38" t="s">
        <v>19</v>
      </c>
      <c r="E4" s="28" t="s">
        <v>541</v>
      </c>
      <c r="F4" s="29" t="s">
        <v>552</v>
      </c>
      <c r="G4" s="29" t="s">
        <v>543</v>
      </c>
      <c r="H4" s="29" t="s">
        <v>544</v>
      </c>
      <c r="I4" s="29" t="s">
        <v>545</v>
      </c>
      <c r="J4" s="29" t="s">
        <v>546</v>
      </c>
      <c r="K4" s="28" t="s">
        <v>547</v>
      </c>
      <c r="L4" s="28" t="s">
        <v>548</v>
      </c>
      <c r="M4" s="28" t="s">
        <v>231</v>
      </c>
      <c r="N4" s="28" t="s">
        <v>53</v>
      </c>
      <c r="O4" s="28" t="s">
        <v>231</v>
      </c>
      <c r="P4" s="28" t="s">
        <v>53</v>
      </c>
      <c r="Q4" s="28" t="s">
        <v>549</v>
      </c>
      <c r="R4" s="30" t="n">
        <v>8</v>
      </c>
    </row>
    <row r="5" customFormat="false" ht="60" hidden="false" customHeight="true" outlineLevel="0" collapsed="false">
      <c r="A5" s="23" t="s">
        <v>553</v>
      </c>
      <c r="B5" s="31" t="s">
        <v>16</v>
      </c>
      <c r="C5" s="23" t="s">
        <v>554</v>
      </c>
      <c r="D5" s="38" t="s">
        <v>19</v>
      </c>
      <c r="E5" s="23" t="s">
        <v>541</v>
      </c>
      <c r="F5" s="26" t="s">
        <v>555</v>
      </c>
      <c r="G5" s="26" t="s">
        <v>543</v>
      </c>
      <c r="H5" s="26" t="s">
        <v>544</v>
      </c>
      <c r="I5" s="26" t="s">
        <v>545</v>
      </c>
      <c r="J5" s="26" t="s">
        <v>546</v>
      </c>
      <c r="K5" s="23" t="s">
        <v>547</v>
      </c>
      <c r="L5" s="23" t="s">
        <v>548</v>
      </c>
      <c r="M5" s="23" t="s">
        <v>231</v>
      </c>
      <c r="N5" s="23" t="s">
        <v>53</v>
      </c>
      <c r="O5" s="23" t="s">
        <v>231</v>
      </c>
      <c r="P5" s="23" t="s">
        <v>53</v>
      </c>
      <c r="Q5" s="23" t="s">
        <v>549</v>
      </c>
      <c r="R5" s="27" t="n">
        <v>9</v>
      </c>
    </row>
    <row r="6" customFormat="false" ht="60" hidden="false" customHeight="true" outlineLevel="0" collapsed="false">
      <c r="A6" s="28" t="s">
        <v>556</v>
      </c>
      <c r="B6" s="33" t="s">
        <v>20</v>
      </c>
      <c r="C6" s="28" t="s">
        <v>557</v>
      </c>
      <c r="D6" s="38" t="s">
        <v>19</v>
      </c>
      <c r="E6" s="28" t="s">
        <v>541</v>
      </c>
      <c r="F6" s="29" t="s">
        <v>558</v>
      </c>
      <c r="G6" s="29" t="s">
        <v>543</v>
      </c>
      <c r="H6" s="29" t="s">
        <v>544</v>
      </c>
      <c r="I6" s="29" t="s">
        <v>545</v>
      </c>
      <c r="J6" s="29" t="s">
        <v>546</v>
      </c>
      <c r="K6" s="28" t="s">
        <v>547</v>
      </c>
      <c r="L6" s="28" t="s">
        <v>548</v>
      </c>
      <c r="M6" s="28" t="s">
        <v>231</v>
      </c>
      <c r="N6" s="28" t="s">
        <v>53</v>
      </c>
      <c r="O6" s="28" t="s">
        <v>231</v>
      </c>
      <c r="P6" s="28" t="s">
        <v>53</v>
      </c>
      <c r="Q6" s="28" t="s">
        <v>549</v>
      </c>
      <c r="R6" s="30" t="n">
        <v>8</v>
      </c>
    </row>
    <row r="7" customFormat="false" ht="60" hidden="false" customHeight="true" outlineLevel="0" collapsed="false">
      <c r="A7" s="23" t="s">
        <v>559</v>
      </c>
      <c r="B7" s="31" t="s">
        <v>16</v>
      </c>
      <c r="C7" s="23" t="s">
        <v>560</v>
      </c>
      <c r="D7" s="38" t="s">
        <v>19</v>
      </c>
      <c r="E7" s="23" t="s">
        <v>541</v>
      </c>
      <c r="F7" s="26" t="s">
        <v>561</v>
      </c>
      <c r="G7" s="26" t="s">
        <v>543</v>
      </c>
      <c r="H7" s="26" t="s">
        <v>544</v>
      </c>
      <c r="I7" s="26" t="s">
        <v>545</v>
      </c>
      <c r="J7" s="26" t="s">
        <v>546</v>
      </c>
      <c r="K7" s="23" t="s">
        <v>547</v>
      </c>
      <c r="L7" s="23" t="s">
        <v>548</v>
      </c>
      <c r="M7" s="23" t="s">
        <v>231</v>
      </c>
      <c r="N7" s="23" t="s">
        <v>53</v>
      </c>
      <c r="O7" s="23" t="s">
        <v>231</v>
      </c>
      <c r="P7" s="23" t="s">
        <v>53</v>
      </c>
      <c r="Q7" s="23" t="s">
        <v>549</v>
      </c>
      <c r="R7" s="27" t="n">
        <v>9</v>
      </c>
    </row>
    <row r="8" customFormat="false" ht="60" hidden="false" customHeight="true" outlineLevel="0" collapsed="false">
      <c r="A8" s="28" t="s">
        <v>562</v>
      </c>
      <c r="B8" s="34" t="s">
        <v>22</v>
      </c>
      <c r="C8" s="28" t="s">
        <v>563</v>
      </c>
      <c r="D8" s="38" t="s">
        <v>19</v>
      </c>
      <c r="E8" s="28" t="s">
        <v>541</v>
      </c>
      <c r="F8" s="29" t="s">
        <v>564</v>
      </c>
      <c r="G8" s="29" t="s">
        <v>543</v>
      </c>
      <c r="H8" s="29" t="s">
        <v>544</v>
      </c>
      <c r="I8" s="29" t="s">
        <v>545</v>
      </c>
      <c r="J8" s="29" t="s">
        <v>546</v>
      </c>
      <c r="K8" s="28" t="s">
        <v>547</v>
      </c>
      <c r="L8" s="28" t="s">
        <v>548</v>
      </c>
      <c r="M8" s="28" t="s">
        <v>231</v>
      </c>
      <c r="N8" s="28" t="s">
        <v>53</v>
      </c>
      <c r="O8" s="28" t="s">
        <v>231</v>
      </c>
      <c r="P8" s="28" t="s">
        <v>53</v>
      </c>
      <c r="Q8" s="28" t="s">
        <v>549</v>
      </c>
      <c r="R8" s="30" t="n">
        <v>8</v>
      </c>
    </row>
    <row r="9" customFormat="false" ht="60" hidden="false" customHeight="true" outlineLevel="0" collapsed="false">
      <c r="A9" s="23" t="s">
        <v>565</v>
      </c>
      <c r="B9" s="32" t="s">
        <v>18</v>
      </c>
      <c r="C9" s="23" t="s">
        <v>566</v>
      </c>
      <c r="D9" s="38" t="s">
        <v>19</v>
      </c>
      <c r="E9" s="23" t="s">
        <v>541</v>
      </c>
      <c r="F9" s="26" t="s">
        <v>567</v>
      </c>
      <c r="G9" s="26" t="s">
        <v>543</v>
      </c>
      <c r="H9" s="26" t="s">
        <v>544</v>
      </c>
      <c r="I9" s="26" t="s">
        <v>545</v>
      </c>
      <c r="J9" s="26" t="s">
        <v>546</v>
      </c>
      <c r="K9" s="23" t="s">
        <v>547</v>
      </c>
      <c r="L9" s="23" t="s">
        <v>548</v>
      </c>
      <c r="M9" s="23" t="s">
        <v>231</v>
      </c>
      <c r="N9" s="23" t="s">
        <v>53</v>
      </c>
      <c r="O9" s="23" t="s">
        <v>231</v>
      </c>
      <c r="P9" s="23" t="s">
        <v>53</v>
      </c>
      <c r="Q9" s="23" t="s">
        <v>549</v>
      </c>
      <c r="R9" s="27" t="n">
        <v>9</v>
      </c>
    </row>
    <row r="10" customFormat="false" ht="60" hidden="false" customHeight="true" outlineLevel="0" collapsed="false">
      <c r="A10" s="28" t="s">
        <v>568</v>
      </c>
      <c r="B10" s="35" t="s">
        <v>23</v>
      </c>
      <c r="C10" s="28" t="s">
        <v>569</v>
      </c>
      <c r="D10" s="38" t="s">
        <v>19</v>
      </c>
      <c r="E10" s="28" t="s">
        <v>541</v>
      </c>
      <c r="F10" s="29" t="s">
        <v>570</v>
      </c>
      <c r="G10" s="29" t="s">
        <v>543</v>
      </c>
      <c r="H10" s="29" t="s">
        <v>544</v>
      </c>
      <c r="I10" s="29" t="s">
        <v>545</v>
      </c>
      <c r="J10" s="29" t="s">
        <v>546</v>
      </c>
      <c r="K10" s="28" t="s">
        <v>547</v>
      </c>
      <c r="L10" s="28" t="s">
        <v>548</v>
      </c>
      <c r="M10" s="28" t="s">
        <v>231</v>
      </c>
      <c r="N10" s="28" t="s">
        <v>53</v>
      </c>
      <c r="O10" s="28" t="s">
        <v>231</v>
      </c>
      <c r="P10" s="28" t="s">
        <v>53</v>
      </c>
      <c r="Q10" s="28" t="s">
        <v>549</v>
      </c>
      <c r="R10" s="30" t="n">
        <v>8</v>
      </c>
    </row>
    <row r="11" customFormat="false" ht="60" hidden="false" customHeight="true" outlineLevel="0" collapsed="false">
      <c r="A11" s="23" t="s">
        <v>571</v>
      </c>
      <c r="B11" s="33" t="s">
        <v>20</v>
      </c>
      <c r="C11" s="23" t="s">
        <v>572</v>
      </c>
      <c r="D11" s="38" t="s">
        <v>19</v>
      </c>
      <c r="E11" s="23" t="s">
        <v>541</v>
      </c>
      <c r="F11" s="26" t="s">
        <v>573</v>
      </c>
      <c r="G11" s="26" t="s">
        <v>543</v>
      </c>
      <c r="H11" s="26" t="s">
        <v>544</v>
      </c>
      <c r="I11" s="26" t="s">
        <v>545</v>
      </c>
      <c r="J11" s="26" t="s">
        <v>546</v>
      </c>
      <c r="K11" s="23" t="s">
        <v>547</v>
      </c>
      <c r="L11" s="23" t="s">
        <v>548</v>
      </c>
      <c r="M11" s="23" t="s">
        <v>231</v>
      </c>
      <c r="N11" s="23" t="s">
        <v>53</v>
      </c>
      <c r="O11" s="23" t="s">
        <v>231</v>
      </c>
      <c r="P11" s="23" t="s">
        <v>53</v>
      </c>
      <c r="Q11" s="23" t="s">
        <v>549</v>
      </c>
      <c r="R11" s="27" t="n">
        <v>9</v>
      </c>
    </row>
    <row r="12" customFormat="false" ht="60" hidden="false" customHeight="true" outlineLevel="0" collapsed="false">
      <c r="A12" s="28" t="s">
        <v>574</v>
      </c>
      <c r="B12" s="31" t="s">
        <v>16</v>
      </c>
      <c r="C12" s="28" t="s">
        <v>575</v>
      </c>
      <c r="D12" s="38" t="s">
        <v>19</v>
      </c>
      <c r="E12" s="28" t="s">
        <v>541</v>
      </c>
      <c r="F12" s="29" t="s">
        <v>576</v>
      </c>
      <c r="G12" s="29" t="s">
        <v>543</v>
      </c>
      <c r="H12" s="29" t="s">
        <v>544</v>
      </c>
      <c r="I12" s="29" t="s">
        <v>545</v>
      </c>
      <c r="J12" s="29" t="s">
        <v>546</v>
      </c>
      <c r="K12" s="28" t="s">
        <v>547</v>
      </c>
      <c r="L12" s="28" t="s">
        <v>548</v>
      </c>
      <c r="M12" s="28" t="s">
        <v>231</v>
      </c>
      <c r="N12" s="28" t="s">
        <v>53</v>
      </c>
      <c r="O12" s="28" t="s">
        <v>231</v>
      </c>
      <c r="P12" s="28" t="s">
        <v>53</v>
      </c>
      <c r="Q12" s="28" t="s">
        <v>549</v>
      </c>
      <c r="R12" s="30" t="n">
        <v>8</v>
      </c>
    </row>
    <row r="13" customFormat="false" ht="60" hidden="false" customHeight="true" outlineLevel="0" collapsed="false">
      <c r="A13" s="23" t="s">
        <v>577</v>
      </c>
      <c r="B13" s="31" t="s">
        <v>16</v>
      </c>
      <c r="C13" s="23" t="s">
        <v>578</v>
      </c>
      <c r="D13" s="38" t="s">
        <v>19</v>
      </c>
      <c r="E13" s="23" t="s">
        <v>541</v>
      </c>
      <c r="F13" s="26" t="s">
        <v>579</v>
      </c>
      <c r="G13" s="26" t="s">
        <v>543</v>
      </c>
      <c r="H13" s="26" t="s">
        <v>544</v>
      </c>
      <c r="I13" s="26" t="s">
        <v>545</v>
      </c>
      <c r="J13" s="26" t="s">
        <v>546</v>
      </c>
      <c r="K13" s="23" t="s">
        <v>547</v>
      </c>
      <c r="L13" s="23" t="s">
        <v>548</v>
      </c>
      <c r="M13" s="23" t="s">
        <v>231</v>
      </c>
      <c r="N13" s="23" t="s">
        <v>53</v>
      </c>
      <c r="O13" s="23" t="s">
        <v>231</v>
      </c>
      <c r="P13" s="23" t="s">
        <v>53</v>
      </c>
      <c r="Q13" s="23" t="s">
        <v>549</v>
      </c>
      <c r="R13" s="27" t="n">
        <v>9</v>
      </c>
    </row>
    <row r="14" customFormat="false" ht="60" hidden="false" customHeight="true" outlineLevel="0" collapsed="false">
      <c r="A14" s="28" t="s">
        <v>580</v>
      </c>
      <c r="B14" s="24" t="s">
        <v>14</v>
      </c>
      <c r="C14" s="28" t="s">
        <v>581</v>
      </c>
      <c r="D14" s="38" t="s">
        <v>19</v>
      </c>
      <c r="E14" s="28" t="s">
        <v>541</v>
      </c>
      <c r="F14" s="29" t="s">
        <v>582</v>
      </c>
      <c r="G14" s="29" t="s">
        <v>543</v>
      </c>
      <c r="H14" s="29" t="s">
        <v>544</v>
      </c>
      <c r="I14" s="29" t="s">
        <v>545</v>
      </c>
      <c r="J14" s="29" t="s">
        <v>546</v>
      </c>
      <c r="K14" s="28" t="s">
        <v>547</v>
      </c>
      <c r="L14" s="28" t="s">
        <v>548</v>
      </c>
      <c r="M14" s="28" t="s">
        <v>231</v>
      </c>
      <c r="N14" s="28" t="s">
        <v>53</v>
      </c>
      <c r="O14" s="28" t="s">
        <v>231</v>
      </c>
      <c r="P14" s="28" t="s">
        <v>53</v>
      </c>
      <c r="Q14" s="28" t="s">
        <v>549</v>
      </c>
      <c r="R14" s="30" t="n">
        <v>8</v>
      </c>
    </row>
    <row r="15" customFormat="false" ht="60" hidden="false" customHeight="true" outlineLevel="0" collapsed="false">
      <c r="A15" s="23" t="s">
        <v>583</v>
      </c>
      <c r="B15" s="32" t="s">
        <v>18</v>
      </c>
      <c r="C15" s="23" t="s">
        <v>584</v>
      </c>
      <c r="D15" s="38" t="s">
        <v>19</v>
      </c>
      <c r="E15" s="23" t="s">
        <v>541</v>
      </c>
      <c r="F15" s="26" t="s">
        <v>585</v>
      </c>
      <c r="G15" s="26" t="s">
        <v>543</v>
      </c>
      <c r="H15" s="26" t="s">
        <v>544</v>
      </c>
      <c r="I15" s="26" t="s">
        <v>545</v>
      </c>
      <c r="J15" s="26" t="s">
        <v>546</v>
      </c>
      <c r="K15" s="23" t="s">
        <v>547</v>
      </c>
      <c r="L15" s="23" t="s">
        <v>548</v>
      </c>
      <c r="M15" s="23" t="s">
        <v>231</v>
      </c>
      <c r="N15" s="23" t="s">
        <v>53</v>
      </c>
      <c r="O15" s="23" t="s">
        <v>231</v>
      </c>
      <c r="P15" s="23" t="s">
        <v>53</v>
      </c>
      <c r="Q15" s="23" t="s">
        <v>549</v>
      </c>
      <c r="R15" s="27" t="n">
        <v>9</v>
      </c>
    </row>
    <row r="16" customFormat="false" ht="60" hidden="false" customHeight="true" outlineLevel="0" collapsed="false">
      <c r="A16" s="28" t="s">
        <v>586</v>
      </c>
      <c r="B16" s="33" t="s">
        <v>20</v>
      </c>
      <c r="C16" s="28" t="s">
        <v>587</v>
      </c>
      <c r="D16" s="38" t="s">
        <v>19</v>
      </c>
      <c r="E16" s="28" t="s">
        <v>541</v>
      </c>
      <c r="F16" s="29" t="s">
        <v>588</v>
      </c>
      <c r="G16" s="29" t="s">
        <v>543</v>
      </c>
      <c r="H16" s="29" t="s">
        <v>544</v>
      </c>
      <c r="I16" s="29" t="s">
        <v>545</v>
      </c>
      <c r="J16" s="29" t="s">
        <v>546</v>
      </c>
      <c r="K16" s="28" t="s">
        <v>547</v>
      </c>
      <c r="L16" s="28" t="s">
        <v>548</v>
      </c>
      <c r="M16" s="28" t="s">
        <v>231</v>
      </c>
      <c r="N16" s="28" t="s">
        <v>53</v>
      </c>
      <c r="O16" s="28" t="s">
        <v>231</v>
      </c>
      <c r="P16" s="28" t="s">
        <v>53</v>
      </c>
      <c r="Q16" s="28" t="s">
        <v>549</v>
      </c>
      <c r="R16" s="30" t="n">
        <v>8</v>
      </c>
    </row>
    <row r="17" customFormat="false" ht="60" hidden="false" customHeight="true" outlineLevel="0" collapsed="false">
      <c r="A17" s="23" t="s">
        <v>589</v>
      </c>
      <c r="B17" s="31" t="s">
        <v>16</v>
      </c>
      <c r="C17" s="23" t="s">
        <v>590</v>
      </c>
      <c r="D17" s="38" t="s">
        <v>19</v>
      </c>
      <c r="E17" s="23" t="s">
        <v>541</v>
      </c>
      <c r="F17" s="26" t="s">
        <v>591</v>
      </c>
      <c r="G17" s="26" t="s">
        <v>543</v>
      </c>
      <c r="H17" s="26" t="s">
        <v>544</v>
      </c>
      <c r="I17" s="26" t="s">
        <v>545</v>
      </c>
      <c r="J17" s="26" t="s">
        <v>546</v>
      </c>
      <c r="K17" s="23" t="s">
        <v>547</v>
      </c>
      <c r="L17" s="23" t="s">
        <v>548</v>
      </c>
      <c r="M17" s="23" t="s">
        <v>231</v>
      </c>
      <c r="N17" s="23" t="s">
        <v>53</v>
      </c>
      <c r="O17" s="23" t="s">
        <v>231</v>
      </c>
      <c r="P17" s="23" t="s">
        <v>53</v>
      </c>
      <c r="Q17" s="23" t="s">
        <v>549</v>
      </c>
      <c r="R17" s="27" t="n">
        <v>9</v>
      </c>
    </row>
    <row r="18" customFormat="false" ht="60" hidden="false" customHeight="true" outlineLevel="0" collapsed="false">
      <c r="A18" s="28" t="s">
        <v>592</v>
      </c>
      <c r="B18" s="34" t="s">
        <v>22</v>
      </c>
      <c r="C18" s="28" t="s">
        <v>593</v>
      </c>
      <c r="D18" s="38" t="s">
        <v>19</v>
      </c>
      <c r="E18" s="28" t="s">
        <v>541</v>
      </c>
      <c r="F18" s="29" t="s">
        <v>594</v>
      </c>
      <c r="G18" s="29" t="s">
        <v>543</v>
      </c>
      <c r="H18" s="29" t="s">
        <v>544</v>
      </c>
      <c r="I18" s="29" t="s">
        <v>545</v>
      </c>
      <c r="J18" s="29" t="s">
        <v>546</v>
      </c>
      <c r="K18" s="28" t="s">
        <v>547</v>
      </c>
      <c r="L18" s="28" t="s">
        <v>548</v>
      </c>
      <c r="M18" s="28" t="s">
        <v>231</v>
      </c>
      <c r="N18" s="28" t="s">
        <v>53</v>
      </c>
      <c r="O18" s="28" t="s">
        <v>231</v>
      </c>
      <c r="P18" s="28" t="s">
        <v>53</v>
      </c>
      <c r="Q18" s="28" t="s">
        <v>549</v>
      </c>
      <c r="R18" s="30" t="n">
        <v>8</v>
      </c>
    </row>
    <row r="19" customFormat="false" ht="60" hidden="false" customHeight="true" outlineLevel="0" collapsed="false">
      <c r="A19" s="23" t="s">
        <v>595</v>
      </c>
      <c r="B19" s="35" t="s">
        <v>23</v>
      </c>
      <c r="C19" s="23" t="s">
        <v>596</v>
      </c>
      <c r="D19" s="38" t="s">
        <v>19</v>
      </c>
      <c r="E19" s="23" t="s">
        <v>541</v>
      </c>
      <c r="F19" s="26" t="s">
        <v>597</v>
      </c>
      <c r="G19" s="26" t="s">
        <v>543</v>
      </c>
      <c r="H19" s="26" t="s">
        <v>544</v>
      </c>
      <c r="I19" s="26" t="s">
        <v>545</v>
      </c>
      <c r="J19" s="26" t="s">
        <v>546</v>
      </c>
      <c r="K19" s="23" t="s">
        <v>547</v>
      </c>
      <c r="L19" s="23" t="s">
        <v>548</v>
      </c>
      <c r="M19" s="23" t="s">
        <v>231</v>
      </c>
      <c r="N19" s="23" t="s">
        <v>53</v>
      </c>
      <c r="O19" s="23" t="s">
        <v>231</v>
      </c>
      <c r="P19" s="23" t="s">
        <v>53</v>
      </c>
      <c r="Q19" s="23" t="s">
        <v>549</v>
      </c>
      <c r="R19" s="27" t="n">
        <v>9</v>
      </c>
    </row>
    <row r="20" customFormat="false" ht="60" hidden="false" customHeight="true" outlineLevel="0" collapsed="false">
      <c r="A20" s="28" t="s">
        <v>598</v>
      </c>
      <c r="B20" s="31" t="s">
        <v>16</v>
      </c>
      <c r="C20" s="28" t="s">
        <v>599</v>
      </c>
      <c r="D20" s="38" t="s">
        <v>19</v>
      </c>
      <c r="E20" s="28" t="s">
        <v>541</v>
      </c>
      <c r="F20" s="29" t="s">
        <v>600</v>
      </c>
      <c r="G20" s="29" t="s">
        <v>543</v>
      </c>
      <c r="H20" s="29" t="s">
        <v>544</v>
      </c>
      <c r="I20" s="29" t="s">
        <v>545</v>
      </c>
      <c r="J20" s="29" t="s">
        <v>546</v>
      </c>
      <c r="K20" s="28" t="s">
        <v>547</v>
      </c>
      <c r="L20" s="28" t="s">
        <v>548</v>
      </c>
      <c r="M20" s="28" t="s">
        <v>231</v>
      </c>
      <c r="N20" s="28" t="s">
        <v>53</v>
      </c>
      <c r="O20" s="28" t="s">
        <v>231</v>
      </c>
      <c r="P20" s="28" t="s">
        <v>53</v>
      </c>
      <c r="Q20" s="28" t="s">
        <v>549</v>
      </c>
      <c r="R20" s="30" t="n">
        <v>8</v>
      </c>
    </row>
    <row r="21" customFormat="false" ht="60" hidden="false" customHeight="true" outlineLevel="0" collapsed="false">
      <c r="A21" s="23" t="s">
        <v>601</v>
      </c>
      <c r="B21" s="33" t="s">
        <v>20</v>
      </c>
      <c r="C21" s="23" t="s">
        <v>602</v>
      </c>
      <c r="D21" s="38" t="s">
        <v>19</v>
      </c>
      <c r="E21" s="23" t="s">
        <v>541</v>
      </c>
      <c r="F21" s="26" t="s">
        <v>603</v>
      </c>
      <c r="G21" s="26" t="s">
        <v>543</v>
      </c>
      <c r="H21" s="26" t="s">
        <v>544</v>
      </c>
      <c r="I21" s="26" t="s">
        <v>545</v>
      </c>
      <c r="J21" s="26" t="s">
        <v>546</v>
      </c>
      <c r="K21" s="23" t="s">
        <v>547</v>
      </c>
      <c r="L21" s="23" t="s">
        <v>548</v>
      </c>
      <c r="M21" s="23" t="s">
        <v>231</v>
      </c>
      <c r="N21" s="23" t="s">
        <v>53</v>
      </c>
      <c r="O21" s="23" t="s">
        <v>231</v>
      </c>
      <c r="P21" s="23" t="s">
        <v>53</v>
      </c>
      <c r="Q21" s="23" t="s">
        <v>549</v>
      </c>
      <c r="R21" s="27" t="n">
        <v>9</v>
      </c>
    </row>
    <row r="22" customFormat="false" ht="60" hidden="false" customHeight="true" outlineLevel="0" collapsed="false">
      <c r="A22" s="28" t="s">
        <v>604</v>
      </c>
      <c r="B22" s="31" t="s">
        <v>16</v>
      </c>
      <c r="C22" s="28" t="s">
        <v>605</v>
      </c>
      <c r="D22" s="38" t="s">
        <v>19</v>
      </c>
      <c r="E22" s="28" t="s">
        <v>541</v>
      </c>
      <c r="F22" s="29" t="s">
        <v>606</v>
      </c>
      <c r="G22" s="29" t="s">
        <v>543</v>
      </c>
      <c r="H22" s="29" t="s">
        <v>544</v>
      </c>
      <c r="I22" s="29" t="s">
        <v>545</v>
      </c>
      <c r="J22" s="29" t="s">
        <v>546</v>
      </c>
      <c r="K22" s="28" t="s">
        <v>547</v>
      </c>
      <c r="L22" s="28" t="s">
        <v>548</v>
      </c>
      <c r="M22" s="28" t="s">
        <v>231</v>
      </c>
      <c r="N22" s="28" t="s">
        <v>53</v>
      </c>
      <c r="O22" s="28" t="s">
        <v>231</v>
      </c>
      <c r="P22" s="28" t="s">
        <v>53</v>
      </c>
      <c r="Q22" s="28" t="s">
        <v>549</v>
      </c>
      <c r="R22" s="30" t="n">
        <v>8</v>
      </c>
    </row>
    <row r="23" customFormat="false" ht="60" hidden="false" customHeight="true" outlineLevel="0" collapsed="false">
      <c r="A23" s="23" t="s">
        <v>607</v>
      </c>
      <c r="B23" s="35" t="s">
        <v>23</v>
      </c>
      <c r="C23" s="23" t="s">
        <v>608</v>
      </c>
      <c r="D23" s="38" t="s">
        <v>19</v>
      </c>
      <c r="E23" s="23" t="s">
        <v>541</v>
      </c>
      <c r="F23" s="26" t="s">
        <v>609</v>
      </c>
      <c r="G23" s="26" t="s">
        <v>543</v>
      </c>
      <c r="H23" s="26" t="s">
        <v>544</v>
      </c>
      <c r="I23" s="26" t="s">
        <v>545</v>
      </c>
      <c r="J23" s="26" t="s">
        <v>546</v>
      </c>
      <c r="K23" s="23" t="s">
        <v>547</v>
      </c>
      <c r="L23" s="23" t="s">
        <v>548</v>
      </c>
      <c r="M23" s="23" t="s">
        <v>231</v>
      </c>
      <c r="N23" s="23" t="s">
        <v>53</v>
      </c>
      <c r="O23" s="23" t="s">
        <v>231</v>
      </c>
      <c r="P23" s="23" t="s">
        <v>53</v>
      </c>
      <c r="Q23" s="23" t="s">
        <v>549</v>
      </c>
      <c r="R23" s="27" t="n">
        <v>9</v>
      </c>
    </row>
    <row r="24" customFormat="false" ht="60" hidden="false" customHeight="true" outlineLevel="0" collapsed="false">
      <c r="A24" s="28" t="s">
        <v>610</v>
      </c>
      <c r="B24" s="34" t="s">
        <v>22</v>
      </c>
      <c r="C24" s="28" t="s">
        <v>611</v>
      </c>
      <c r="D24" s="38" t="s">
        <v>19</v>
      </c>
      <c r="E24" s="28" t="s">
        <v>541</v>
      </c>
      <c r="F24" s="29" t="s">
        <v>612</v>
      </c>
      <c r="G24" s="29" t="s">
        <v>543</v>
      </c>
      <c r="H24" s="29" t="s">
        <v>544</v>
      </c>
      <c r="I24" s="29" t="s">
        <v>545</v>
      </c>
      <c r="J24" s="29" t="s">
        <v>546</v>
      </c>
      <c r="K24" s="28" t="s">
        <v>547</v>
      </c>
      <c r="L24" s="28" t="s">
        <v>548</v>
      </c>
      <c r="M24" s="28" t="s">
        <v>231</v>
      </c>
      <c r="N24" s="28" t="s">
        <v>53</v>
      </c>
      <c r="O24" s="28" t="s">
        <v>231</v>
      </c>
      <c r="P24" s="28" t="s">
        <v>53</v>
      </c>
      <c r="Q24" s="28" t="s">
        <v>549</v>
      </c>
      <c r="R24" s="30" t="n">
        <v>8</v>
      </c>
    </row>
  </sheetData>
  <mergeCells count="1">
    <mergeCell ref="A1:R1"/>
  </mergeCells>
  <conditionalFormatting sqref="R3:R24">
    <cfRule type="expression" priority="2" aboveAverage="0" equalAverage="0" bottom="0" percent="0" rank="0" text="" dxfId="18">
      <formula>R3&gt;=8</formula>
    </cfRule>
    <cfRule type="expression" priority="3" aboveAverage="0" equalAverage="0" bottom="0" percent="0" rank="0" text="" dxfId="19">
      <formula>R3&lt;=3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2" min="11" style="0" width="16"/>
    <col collapsed="false" customWidth="true" hidden="false" outlineLevel="0" max="13" min="13" style="0" width="13"/>
    <col collapsed="false" customWidth="true" hidden="false" outlineLevel="0" max="16" min="14" style="0" width="14"/>
    <col collapsed="false" customWidth="true" hidden="false" outlineLevel="0" max="17" min="17" style="0" width="20"/>
    <col collapsed="false" customWidth="true" hidden="false" outlineLevel="0" max="18" min="18" style="0" width="16"/>
  </cols>
  <sheetData>
    <row r="1" customFormat="false" ht="25.5" hidden="false" customHeight="true" outlineLevel="0" collapsed="false">
      <c r="A1" s="21" t="s">
        <v>613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33.75" hidden="false" customHeight="true" outlineLevel="0" collapsed="false">
      <c r="A2" s="22" t="s">
        <v>26</v>
      </c>
      <c r="B2" s="22" t="s">
        <v>12</v>
      </c>
      <c r="C2" s="22" t="s">
        <v>27</v>
      </c>
      <c r="D2" s="22" t="s">
        <v>10</v>
      </c>
      <c r="E2" s="22" t="s">
        <v>28</v>
      </c>
      <c r="F2" s="22" t="s">
        <v>29</v>
      </c>
      <c r="G2" s="22" t="s">
        <v>30</v>
      </c>
      <c r="H2" s="22" t="s">
        <v>31</v>
      </c>
      <c r="I2" s="22" t="s">
        <v>32</v>
      </c>
      <c r="J2" s="22" t="s">
        <v>33</v>
      </c>
      <c r="K2" s="22" t="s">
        <v>34</v>
      </c>
      <c r="L2" s="22" t="s">
        <v>35</v>
      </c>
      <c r="M2" s="22" t="s">
        <v>36</v>
      </c>
      <c r="N2" s="22" t="s">
        <v>37</v>
      </c>
      <c r="O2" s="22" t="s">
        <v>38</v>
      </c>
      <c r="P2" s="22" t="s">
        <v>39</v>
      </c>
      <c r="Q2" s="22" t="s">
        <v>40</v>
      </c>
      <c r="R2" s="22" t="s">
        <v>41</v>
      </c>
    </row>
    <row r="3" customFormat="false" ht="60" hidden="false" customHeight="true" outlineLevel="0" collapsed="false">
      <c r="A3" s="23" t="s">
        <v>614</v>
      </c>
      <c r="B3" s="34" t="s">
        <v>22</v>
      </c>
      <c r="C3" s="23" t="s">
        <v>615</v>
      </c>
      <c r="D3" s="39" t="s">
        <v>21</v>
      </c>
      <c r="E3" s="23" t="s">
        <v>616</v>
      </c>
      <c r="F3" s="26" t="s">
        <v>617</v>
      </c>
      <c r="G3" s="26" t="s">
        <v>618</v>
      </c>
      <c r="H3" s="26" t="s">
        <v>619</v>
      </c>
      <c r="I3" s="26" t="s">
        <v>620</v>
      </c>
      <c r="J3" s="26" t="s">
        <v>621</v>
      </c>
      <c r="K3" s="23" t="s">
        <v>547</v>
      </c>
      <c r="L3" s="23" t="s">
        <v>622</v>
      </c>
      <c r="M3" s="23" t="s">
        <v>231</v>
      </c>
      <c r="N3" s="23" t="s">
        <v>53</v>
      </c>
      <c r="O3" s="23" t="s">
        <v>231</v>
      </c>
      <c r="P3" s="23" t="s">
        <v>232</v>
      </c>
      <c r="Q3" s="23" t="s">
        <v>623</v>
      </c>
      <c r="R3" s="27" t="n">
        <v>10</v>
      </c>
    </row>
    <row r="4" customFormat="false" ht="60" hidden="false" customHeight="true" outlineLevel="0" collapsed="false">
      <c r="A4" s="28" t="s">
        <v>624</v>
      </c>
      <c r="B4" s="32" t="s">
        <v>18</v>
      </c>
      <c r="C4" s="28" t="s">
        <v>625</v>
      </c>
      <c r="D4" s="39" t="s">
        <v>21</v>
      </c>
      <c r="E4" s="28" t="s">
        <v>616</v>
      </c>
      <c r="F4" s="29" t="s">
        <v>626</v>
      </c>
      <c r="G4" s="29" t="s">
        <v>618</v>
      </c>
      <c r="H4" s="29" t="s">
        <v>619</v>
      </c>
      <c r="I4" s="29" t="s">
        <v>620</v>
      </c>
      <c r="J4" s="29" t="s">
        <v>621</v>
      </c>
      <c r="K4" s="28" t="s">
        <v>547</v>
      </c>
      <c r="L4" s="28" t="s">
        <v>622</v>
      </c>
      <c r="M4" s="28" t="s">
        <v>231</v>
      </c>
      <c r="N4" s="28" t="s">
        <v>53</v>
      </c>
      <c r="O4" s="28" t="s">
        <v>231</v>
      </c>
      <c r="P4" s="28" t="s">
        <v>232</v>
      </c>
      <c r="Q4" s="28" t="s">
        <v>623</v>
      </c>
      <c r="R4" s="30" t="n">
        <v>9</v>
      </c>
    </row>
    <row r="5" customFormat="false" ht="60" hidden="false" customHeight="true" outlineLevel="0" collapsed="false">
      <c r="A5" s="23" t="s">
        <v>627</v>
      </c>
      <c r="B5" s="34" t="s">
        <v>22</v>
      </c>
      <c r="C5" s="23" t="s">
        <v>628</v>
      </c>
      <c r="D5" s="39" t="s">
        <v>21</v>
      </c>
      <c r="E5" s="23" t="s">
        <v>616</v>
      </c>
      <c r="F5" s="26" t="s">
        <v>629</v>
      </c>
      <c r="G5" s="26" t="s">
        <v>618</v>
      </c>
      <c r="H5" s="26" t="s">
        <v>619</v>
      </c>
      <c r="I5" s="26" t="s">
        <v>620</v>
      </c>
      <c r="J5" s="26" t="s">
        <v>621</v>
      </c>
      <c r="K5" s="23" t="s">
        <v>547</v>
      </c>
      <c r="L5" s="23" t="s">
        <v>622</v>
      </c>
      <c r="M5" s="23" t="s">
        <v>231</v>
      </c>
      <c r="N5" s="23" t="s">
        <v>53</v>
      </c>
      <c r="O5" s="23" t="s">
        <v>231</v>
      </c>
      <c r="P5" s="23" t="s">
        <v>232</v>
      </c>
      <c r="Q5" s="23" t="s">
        <v>623</v>
      </c>
      <c r="R5" s="27" t="n">
        <v>10</v>
      </c>
    </row>
    <row r="6" customFormat="false" ht="60" hidden="false" customHeight="true" outlineLevel="0" collapsed="false">
      <c r="A6" s="28" t="s">
        <v>630</v>
      </c>
      <c r="B6" s="35" t="s">
        <v>23</v>
      </c>
      <c r="C6" s="28" t="s">
        <v>631</v>
      </c>
      <c r="D6" s="39" t="s">
        <v>21</v>
      </c>
      <c r="E6" s="28" t="s">
        <v>616</v>
      </c>
      <c r="F6" s="29" t="s">
        <v>632</v>
      </c>
      <c r="G6" s="29" t="s">
        <v>618</v>
      </c>
      <c r="H6" s="29" t="s">
        <v>619</v>
      </c>
      <c r="I6" s="29" t="s">
        <v>620</v>
      </c>
      <c r="J6" s="29" t="s">
        <v>621</v>
      </c>
      <c r="K6" s="28" t="s">
        <v>547</v>
      </c>
      <c r="L6" s="28" t="s">
        <v>622</v>
      </c>
      <c r="M6" s="28" t="s">
        <v>231</v>
      </c>
      <c r="N6" s="28" t="s">
        <v>53</v>
      </c>
      <c r="O6" s="28" t="s">
        <v>231</v>
      </c>
      <c r="P6" s="28" t="s">
        <v>232</v>
      </c>
      <c r="Q6" s="28" t="s">
        <v>623</v>
      </c>
      <c r="R6" s="30" t="n">
        <v>9</v>
      </c>
    </row>
    <row r="7" customFormat="false" ht="60" hidden="false" customHeight="true" outlineLevel="0" collapsed="false">
      <c r="A7" s="23" t="s">
        <v>633</v>
      </c>
      <c r="B7" s="35" t="s">
        <v>23</v>
      </c>
      <c r="C7" s="23" t="s">
        <v>634</v>
      </c>
      <c r="D7" s="39" t="s">
        <v>21</v>
      </c>
      <c r="E7" s="23" t="s">
        <v>616</v>
      </c>
      <c r="F7" s="26" t="s">
        <v>635</v>
      </c>
      <c r="G7" s="26" t="s">
        <v>618</v>
      </c>
      <c r="H7" s="26" t="s">
        <v>619</v>
      </c>
      <c r="I7" s="26" t="s">
        <v>620</v>
      </c>
      <c r="J7" s="26" t="s">
        <v>621</v>
      </c>
      <c r="K7" s="23" t="s">
        <v>547</v>
      </c>
      <c r="L7" s="23" t="s">
        <v>622</v>
      </c>
      <c r="M7" s="23" t="s">
        <v>231</v>
      </c>
      <c r="N7" s="23" t="s">
        <v>53</v>
      </c>
      <c r="O7" s="23" t="s">
        <v>231</v>
      </c>
      <c r="P7" s="23" t="s">
        <v>232</v>
      </c>
      <c r="Q7" s="23" t="s">
        <v>623</v>
      </c>
      <c r="R7" s="27" t="n">
        <v>10</v>
      </c>
    </row>
    <row r="8" customFormat="false" ht="60" hidden="false" customHeight="true" outlineLevel="0" collapsed="false">
      <c r="A8" s="28" t="s">
        <v>636</v>
      </c>
      <c r="B8" s="32" t="s">
        <v>18</v>
      </c>
      <c r="C8" s="28" t="s">
        <v>637</v>
      </c>
      <c r="D8" s="39" t="s">
        <v>21</v>
      </c>
      <c r="E8" s="28" t="s">
        <v>616</v>
      </c>
      <c r="F8" s="29" t="s">
        <v>638</v>
      </c>
      <c r="G8" s="29" t="s">
        <v>618</v>
      </c>
      <c r="H8" s="29" t="s">
        <v>619</v>
      </c>
      <c r="I8" s="29" t="s">
        <v>620</v>
      </c>
      <c r="J8" s="29" t="s">
        <v>621</v>
      </c>
      <c r="K8" s="28" t="s">
        <v>547</v>
      </c>
      <c r="L8" s="28" t="s">
        <v>622</v>
      </c>
      <c r="M8" s="28" t="s">
        <v>231</v>
      </c>
      <c r="N8" s="28" t="s">
        <v>53</v>
      </c>
      <c r="O8" s="28" t="s">
        <v>231</v>
      </c>
      <c r="P8" s="28" t="s">
        <v>232</v>
      </c>
      <c r="Q8" s="28" t="s">
        <v>623</v>
      </c>
      <c r="R8" s="30" t="n">
        <v>9</v>
      </c>
    </row>
    <row r="9" customFormat="false" ht="60" hidden="false" customHeight="true" outlineLevel="0" collapsed="false">
      <c r="A9" s="23" t="s">
        <v>639</v>
      </c>
      <c r="B9" s="33" t="s">
        <v>20</v>
      </c>
      <c r="C9" s="23" t="s">
        <v>640</v>
      </c>
      <c r="D9" s="39" t="s">
        <v>21</v>
      </c>
      <c r="E9" s="23" t="s">
        <v>616</v>
      </c>
      <c r="F9" s="26" t="s">
        <v>641</v>
      </c>
      <c r="G9" s="26" t="s">
        <v>618</v>
      </c>
      <c r="H9" s="26" t="s">
        <v>619</v>
      </c>
      <c r="I9" s="26" t="s">
        <v>620</v>
      </c>
      <c r="J9" s="26" t="s">
        <v>621</v>
      </c>
      <c r="K9" s="23" t="s">
        <v>547</v>
      </c>
      <c r="L9" s="23" t="s">
        <v>622</v>
      </c>
      <c r="M9" s="23" t="s">
        <v>231</v>
      </c>
      <c r="N9" s="23" t="s">
        <v>53</v>
      </c>
      <c r="O9" s="23" t="s">
        <v>231</v>
      </c>
      <c r="P9" s="23" t="s">
        <v>232</v>
      </c>
      <c r="Q9" s="23" t="s">
        <v>623</v>
      </c>
      <c r="R9" s="27" t="n">
        <v>10</v>
      </c>
    </row>
    <row r="10" customFormat="false" ht="60" hidden="false" customHeight="true" outlineLevel="0" collapsed="false">
      <c r="A10" s="28" t="s">
        <v>642</v>
      </c>
      <c r="B10" s="32" t="s">
        <v>18</v>
      </c>
      <c r="C10" s="28" t="s">
        <v>643</v>
      </c>
      <c r="D10" s="39" t="s">
        <v>21</v>
      </c>
      <c r="E10" s="28" t="s">
        <v>616</v>
      </c>
      <c r="F10" s="29" t="s">
        <v>644</v>
      </c>
      <c r="G10" s="29" t="s">
        <v>618</v>
      </c>
      <c r="H10" s="29" t="s">
        <v>619</v>
      </c>
      <c r="I10" s="29" t="s">
        <v>620</v>
      </c>
      <c r="J10" s="29" t="s">
        <v>621</v>
      </c>
      <c r="K10" s="28" t="s">
        <v>547</v>
      </c>
      <c r="L10" s="28" t="s">
        <v>622</v>
      </c>
      <c r="M10" s="28" t="s">
        <v>231</v>
      </c>
      <c r="N10" s="28" t="s">
        <v>53</v>
      </c>
      <c r="O10" s="28" t="s">
        <v>231</v>
      </c>
      <c r="P10" s="28" t="s">
        <v>232</v>
      </c>
      <c r="Q10" s="28" t="s">
        <v>623</v>
      </c>
      <c r="R10" s="30" t="n">
        <v>9</v>
      </c>
    </row>
    <row r="11" customFormat="false" ht="60" hidden="false" customHeight="true" outlineLevel="0" collapsed="false">
      <c r="A11" s="23" t="s">
        <v>645</v>
      </c>
      <c r="B11" s="33" t="s">
        <v>20</v>
      </c>
      <c r="C11" s="23" t="s">
        <v>646</v>
      </c>
      <c r="D11" s="39" t="s">
        <v>21</v>
      </c>
      <c r="E11" s="23" t="s">
        <v>616</v>
      </c>
      <c r="F11" s="26" t="s">
        <v>647</v>
      </c>
      <c r="G11" s="26" t="s">
        <v>618</v>
      </c>
      <c r="H11" s="26" t="s">
        <v>619</v>
      </c>
      <c r="I11" s="26" t="s">
        <v>620</v>
      </c>
      <c r="J11" s="26" t="s">
        <v>621</v>
      </c>
      <c r="K11" s="23" t="s">
        <v>547</v>
      </c>
      <c r="L11" s="23" t="s">
        <v>622</v>
      </c>
      <c r="M11" s="23" t="s">
        <v>231</v>
      </c>
      <c r="N11" s="23" t="s">
        <v>53</v>
      </c>
      <c r="O11" s="23" t="s">
        <v>231</v>
      </c>
      <c r="P11" s="23" t="s">
        <v>232</v>
      </c>
      <c r="Q11" s="23" t="s">
        <v>623</v>
      </c>
      <c r="R11" s="27" t="n">
        <v>10</v>
      </c>
    </row>
    <row r="12" customFormat="false" ht="60" hidden="false" customHeight="true" outlineLevel="0" collapsed="false">
      <c r="A12" s="28" t="s">
        <v>648</v>
      </c>
      <c r="B12" s="35" t="s">
        <v>23</v>
      </c>
      <c r="C12" s="28" t="s">
        <v>649</v>
      </c>
      <c r="D12" s="39" t="s">
        <v>21</v>
      </c>
      <c r="E12" s="28" t="s">
        <v>616</v>
      </c>
      <c r="F12" s="29" t="s">
        <v>650</v>
      </c>
      <c r="G12" s="29" t="s">
        <v>618</v>
      </c>
      <c r="H12" s="29" t="s">
        <v>619</v>
      </c>
      <c r="I12" s="29" t="s">
        <v>620</v>
      </c>
      <c r="J12" s="29" t="s">
        <v>621</v>
      </c>
      <c r="K12" s="28" t="s">
        <v>547</v>
      </c>
      <c r="L12" s="28" t="s">
        <v>622</v>
      </c>
      <c r="M12" s="28" t="s">
        <v>231</v>
      </c>
      <c r="N12" s="28" t="s">
        <v>53</v>
      </c>
      <c r="O12" s="28" t="s">
        <v>231</v>
      </c>
      <c r="P12" s="28" t="s">
        <v>232</v>
      </c>
      <c r="Q12" s="28" t="s">
        <v>623</v>
      </c>
      <c r="R12" s="30" t="n">
        <v>9</v>
      </c>
    </row>
    <row r="13" customFormat="false" ht="60" hidden="false" customHeight="true" outlineLevel="0" collapsed="false">
      <c r="A13" s="23" t="s">
        <v>651</v>
      </c>
      <c r="B13" s="33" t="s">
        <v>20</v>
      </c>
      <c r="C13" s="23" t="s">
        <v>652</v>
      </c>
      <c r="D13" s="39" t="s">
        <v>21</v>
      </c>
      <c r="E13" s="23" t="s">
        <v>616</v>
      </c>
      <c r="F13" s="26" t="s">
        <v>653</v>
      </c>
      <c r="G13" s="26" t="s">
        <v>618</v>
      </c>
      <c r="H13" s="26" t="s">
        <v>619</v>
      </c>
      <c r="I13" s="26" t="s">
        <v>620</v>
      </c>
      <c r="J13" s="26" t="s">
        <v>621</v>
      </c>
      <c r="K13" s="23" t="s">
        <v>547</v>
      </c>
      <c r="L13" s="23" t="s">
        <v>622</v>
      </c>
      <c r="M13" s="23" t="s">
        <v>231</v>
      </c>
      <c r="N13" s="23" t="s">
        <v>53</v>
      </c>
      <c r="O13" s="23" t="s">
        <v>231</v>
      </c>
      <c r="P13" s="23" t="s">
        <v>232</v>
      </c>
      <c r="Q13" s="23" t="s">
        <v>623</v>
      </c>
      <c r="R13" s="27" t="n">
        <v>10</v>
      </c>
    </row>
    <row r="14" customFormat="false" ht="60" hidden="false" customHeight="true" outlineLevel="0" collapsed="false">
      <c r="A14" s="28" t="s">
        <v>654</v>
      </c>
      <c r="B14" s="32" t="s">
        <v>18</v>
      </c>
      <c r="C14" s="28" t="s">
        <v>655</v>
      </c>
      <c r="D14" s="39" t="s">
        <v>21</v>
      </c>
      <c r="E14" s="28" t="s">
        <v>616</v>
      </c>
      <c r="F14" s="29" t="s">
        <v>656</v>
      </c>
      <c r="G14" s="29" t="s">
        <v>618</v>
      </c>
      <c r="H14" s="29" t="s">
        <v>619</v>
      </c>
      <c r="I14" s="29" t="s">
        <v>620</v>
      </c>
      <c r="J14" s="29" t="s">
        <v>621</v>
      </c>
      <c r="K14" s="28" t="s">
        <v>547</v>
      </c>
      <c r="L14" s="28" t="s">
        <v>622</v>
      </c>
      <c r="M14" s="28" t="s">
        <v>231</v>
      </c>
      <c r="N14" s="28" t="s">
        <v>53</v>
      </c>
      <c r="O14" s="28" t="s">
        <v>231</v>
      </c>
      <c r="P14" s="28" t="s">
        <v>232</v>
      </c>
      <c r="Q14" s="28" t="s">
        <v>623</v>
      </c>
      <c r="R14" s="30" t="n">
        <v>9</v>
      </c>
    </row>
    <row r="15" customFormat="false" ht="60" hidden="false" customHeight="true" outlineLevel="0" collapsed="false">
      <c r="A15" s="23" t="s">
        <v>657</v>
      </c>
      <c r="B15" s="31" t="s">
        <v>16</v>
      </c>
      <c r="C15" s="23" t="s">
        <v>658</v>
      </c>
      <c r="D15" s="39" t="s">
        <v>21</v>
      </c>
      <c r="E15" s="23" t="s">
        <v>616</v>
      </c>
      <c r="F15" s="26" t="s">
        <v>659</v>
      </c>
      <c r="G15" s="26" t="s">
        <v>618</v>
      </c>
      <c r="H15" s="26" t="s">
        <v>619</v>
      </c>
      <c r="I15" s="26" t="s">
        <v>620</v>
      </c>
      <c r="J15" s="26" t="s">
        <v>621</v>
      </c>
      <c r="K15" s="23" t="s">
        <v>547</v>
      </c>
      <c r="L15" s="23" t="s">
        <v>622</v>
      </c>
      <c r="M15" s="23" t="s">
        <v>231</v>
      </c>
      <c r="N15" s="23" t="s">
        <v>53</v>
      </c>
      <c r="O15" s="23" t="s">
        <v>231</v>
      </c>
      <c r="P15" s="23" t="s">
        <v>232</v>
      </c>
      <c r="Q15" s="23" t="s">
        <v>623</v>
      </c>
      <c r="R15" s="27" t="n">
        <v>10</v>
      </c>
    </row>
    <row r="16" customFormat="false" ht="60" hidden="false" customHeight="true" outlineLevel="0" collapsed="false">
      <c r="A16" s="28" t="s">
        <v>660</v>
      </c>
      <c r="B16" s="35" t="s">
        <v>23</v>
      </c>
      <c r="C16" s="28" t="s">
        <v>661</v>
      </c>
      <c r="D16" s="39" t="s">
        <v>21</v>
      </c>
      <c r="E16" s="28" t="s">
        <v>616</v>
      </c>
      <c r="F16" s="29" t="s">
        <v>662</v>
      </c>
      <c r="G16" s="29" t="s">
        <v>618</v>
      </c>
      <c r="H16" s="29" t="s">
        <v>619</v>
      </c>
      <c r="I16" s="29" t="s">
        <v>620</v>
      </c>
      <c r="J16" s="29" t="s">
        <v>621</v>
      </c>
      <c r="K16" s="28" t="s">
        <v>547</v>
      </c>
      <c r="L16" s="28" t="s">
        <v>622</v>
      </c>
      <c r="M16" s="28" t="s">
        <v>231</v>
      </c>
      <c r="N16" s="28" t="s">
        <v>53</v>
      </c>
      <c r="O16" s="28" t="s">
        <v>231</v>
      </c>
      <c r="P16" s="28" t="s">
        <v>232</v>
      </c>
      <c r="Q16" s="28" t="s">
        <v>623</v>
      </c>
      <c r="R16" s="30" t="n">
        <v>9</v>
      </c>
    </row>
    <row r="17" customFormat="false" ht="60" hidden="false" customHeight="true" outlineLevel="0" collapsed="false">
      <c r="A17" s="23" t="s">
        <v>663</v>
      </c>
      <c r="B17" s="33" t="s">
        <v>20</v>
      </c>
      <c r="C17" s="23" t="s">
        <v>664</v>
      </c>
      <c r="D17" s="39" t="s">
        <v>21</v>
      </c>
      <c r="E17" s="23" t="s">
        <v>616</v>
      </c>
      <c r="F17" s="26" t="s">
        <v>665</v>
      </c>
      <c r="G17" s="26" t="s">
        <v>618</v>
      </c>
      <c r="H17" s="26" t="s">
        <v>619</v>
      </c>
      <c r="I17" s="26" t="s">
        <v>620</v>
      </c>
      <c r="J17" s="26" t="s">
        <v>621</v>
      </c>
      <c r="K17" s="23" t="s">
        <v>547</v>
      </c>
      <c r="L17" s="23" t="s">
        <v>622</v>
      </c>
      <c r="M17" s="23" t="s">
        <v>231</v>
      </c>
      <c r="N17" s="23" t="s">
        <v>53</v>
      </c>
      <c r="O17" s="23" t="s">
        <v>231</v>
      </c>
      <c r="P17" s="23" t="s">
        <v>232</v>
      </c>
      <c r="Q17" s="23" t="s">
        <v>623</v>
      </c>
      <c r="R17" s="27" t="n">
        <v>10</v>
      </c>
    </row>
    <row r="18" customFormat="false" ht="60" hidden="false" customHeight="true" outlineLevel="0" collapsed="false">
      <c r="A18" s="28" t="s">
        <v>666</v>
      </c>
      <c r="B18" s="31" t="s">
        <v>16</v>
      </c>
      <c r="C18" s="28" t="s">
        <v>667</v>
      </c>
      <c r="D18" s="39" t="s">
        <v>21</v>
      </c>
      <c r="E18" s="28" t="s">
        <v>616</v>
      </c>
      <c r="F18" s="29" t="s">
        <v>668</v>
      </c>
      <c r="G18" s="29" t="s">
        <v>618</v>
      </c>
      <c r="H18" s="29" t="s">
        <v>619</v>
      </c>
      <c r="I18" s="29" t="s">
        <v>620</v>
      </c>
      <c r="J18" s="29" t="s">
        <v>621</v>
      </c>
      <c r="K18" s="28" t="s">
        <v>547</v>
      </c>
      <c r="L18" s="28" t="s">
        <v>622</v>
      </c>
      <c r="M18" s="28" t="s">
        <v>231</v>
      </c>
      <c r="N18" s="28" t="s">
        <v>53</v>
      </c>
      <c r="O18" s="28" t="s">
        <v>231</v>
      </c>
      <c r="P18" s="28" t="s">
        <v>232</v>
      </c>
      <c r="Q18" s="28" t="s">
        <v>623</v>
      </c>
      <c r="R18" s="30" t="n">
        <v>9</v>
      </c>
    </row>
    <row r="19" customFormat="false" ht="60" hidden="false" customHeight="true" outlineLevel="0" collapsed="false">
      <c r="A19" s="23" t="s">
        <v>669</v>
      </c>
      <c r="B19" s="34" t="s">
        <v>22</v>
      </c>
      <c r="C19" s="23" t="s">
        <v>670</v>
      </c>
      <c r="D19" s="39" t="s">
        <v>21</v>
      </c>
      <c r="E19" s="23" t="s">
        <v>616</v>
      </c>
      <c r="F19" s="26" t="s">
        <v>671</v>
      </c>
      <c r="G19" s="26" t="s">
        <v>618</v>
      </c>
      <c r="H19" s="26" t="s">
        <v>619</v>
      </c>
      <c r="I19" s="26" t="s">
        <v>620</v>
      </c>
      <c r="J19" s="26" t="s">
        <v>621</v>
      </c>
      <c r="K19" s="23" t="s">
        <v>547</v>
      </c>
      <c r="L19" s="23" t="s">
        <v>622</v>
      </c>
      <c r="M19" s="23" t="s">
        <v>231</v>
      </c>
      <c r="N19" s="23" t="s">
        <v>53</v>
      </c>
      <c r="O19" s="23" t="s">
        <v>231</v>
      </c>
      <c r="P19" s="23" t="s">
        <v>232</v>
      </c>
      <c r="Q19" s="23" t="s">
        <v>623</v>
      </c>
      <c r="R19" s="27" t="n">
        <v>10</v>
      </c>
    </row>
    <row r="20" customFormat="false" ht="60" hidden="false" customHeight="true" outlineLevel="0" collapsed="false">
      <c r="A20" s="28" t="s">
        <v>672</v>
      </c>
      <c r="B20" s="32" t="s">
        <v>18</v>
      </c>
      <c r="C20" s="28" t="s">
        <v>673</v>
      </c>
      <c r="D20" s="39" t="s">
        <v>21</v>
      </c>
      <c r="E20" s="28" t="s">
        <v>616</v>
      </c>
      <c r="F20" s="29" t="s">
        <v>674</v>
      </c>
      <c r="G20" s="29" t="s">
        <v>618</v>
      </c>
      <c r="H20" s="29" t="s">
        <v>619</v>
      </c>
      <c r="I20" s="29" t="s">
        <v>620</v>
      </c>
      <c r="J20" s="29" t="s">
        <v>621</v>
      </c>
      <c r="K20" s="28" t="s">
        <v>547</v>
      </c>
      <c r="L20" s="28" t="s">
        <v>622</v>
      </c>
      <c r="M20" s="28" t="s">
        <v>231</v>
      </c>
      <c r="N20" s="28" t="s">
        <v>53</v>
      </c>
      <c r="O20" s="28" t="s">
        <v>231</v>
      </c>
      <c r="P20" s="28" t="s">
        <v>232</v>
      </c>
      <c r="Q20" s="28" t="s">
        <v>623</v>
      </c>
      <c r="R20" s="30" t="n">
        <v>9</v>
      </c>
    </row>
    <row r="21" customFormat="false" ht="60" hidden="false" customHeight="true" outlineLevel="0" collapsed="false">
      <c r="A21" s="23" t="s">
        <v>675</v>
      </c>
      <c r="B21" s="35" t="s">
        <v>23</v>
      </c>
      <c r="C21" s="23" t="s">
        <v>676</v>
      </c>
      <c r="D21" s="39" t="s">
        <v>21</v>
      </c>
      <c r="E21" s="23" t="s">
        <v>616</v>
      </c>
      <c r="F21" s="26" t="s">
        <v>677</v>
      </c>
      <c r="G21" s="26" t="s">
        <v>618</v>
      </c>
      <c r="H21" s="26" t="s">
        <v>619</v>
      </c>
      <c r="I21" s="26" t="s">
        <v>620</v>
      </c>
      <c r="J21" s="26" t="s">
        <v>621</v>
      </c>
      <c r="K21" s="23" t="s">
        <v>547</v>
      </c>
      <c r="L21" s="23" t="s">
        <v>622</v>
      </c>
      <c r="M21" s="23" t="s">
        <v>231</v>
      </c>
      <c r="N21" s="23" t="s">
        <v>53</v>
      </c>
      <c r="O21" s="23" t="s">
        <v>231</v>
      </c>
      <c r="P21" s="23" t="s">
        <v>232</v>
      </c>
      <c r="Q21" s="23" t="s">
        <v>623</v>
      </c>
      <c r="R21" s="27" t="n">
        <v>10</v>
      </c>
    </row>
    <row r="22" customFormat="false" ht="60" hidden="false" customHeight="true" outlineLevel="0" collapsed="false">
      <c r="A22" s="28" t="s">
        <v>678</v>
      </c>
      <c r="B22" s="31" t="s">
        <v>16</v>
      </c>
      <c r="C22" s="28" t="s">
        <v>679</v>
      </c>
      <c r="D22" s="39" t="s">
        <v>21</v>
      </c>
      <c r="E22" s="28" t="s">
        <v>616</v>
      </c>
      <c r="F22" s="29" t="s">
        <v>680</v>
      </c>
      <c r="G22" s="29" t="s">
        <v>618</v>
      </c>
      <c r="H22" s="29" t="s">
        <v>619</v>
      </c>
      <c r="I22" s="29" t="s">
        <v>620</v>
      </c>
      <c r="J22" s="29" t="s">
        <v>621</v>
      </c>
      <c r="K22" s="28" t="s">
        <v>547</v>
      </c>
      <c r="L22" s="28" t="s">
        <v>622</v>
      </c>
      <c r="M22" s="28" t="s">
        <v>231</v>
      </c>
      <c r="N22" s="28" t="s">
        <v>53</v>
      </c>
      <c r="O22" s="28" t="s">
        <v>231</v>
      </c>
      <c r="P22" s="28" t="s">
        <v>232</v>
      </c>
      <c r="Q22" s="28" t="s">
        <v>623</v>
      </c>
      <c r="R22" s="30" t="n">
        <v>9</v>
      </c>
    </row>
    <row r="23" customFormat="false" ht="60" hidden="false" customHeight="true" outlineLevel="0" collapsed="false">
      <c r="A23" s="23" t="s">
        <v>681</v>
      </c>
      <c r="B23" s="35" t="s">
        <v>23</v>
      </c>
      <c r="C23" s="23" t="s">
        <v>682</v>
      </c>
      <c r="D23" s="39" t="s">
        <v>21</v>
      </c>
      <c r="E23" s="23" t="s">
        <v>616</v>
      </c>
      <c r="F23" s="26" t="s">
        <v>683</v>
      </c>
      <c r="G23" s="26" t="s">
        <v>618</v>
      </c>
      <c r="H23" s="26" t="s">
        <v>619</v>
      </c>
      <c r="I23" s="26" t="s">
        <v>620</v>
      </c>
      <c r="J23" s="26" t="s">
        <v>621</v>
      </c>
      <c r="K23" s="23" t="s">
        <v>547</v>
      </c>
      <c r="L23" s="23" t="s">
        <v>622</v>
      </c>
      <c r="M23" s="23" t="s">
        <v>231</v>
      </c>
      <c r="N23" s="23" t="s">
        <v>53</v>
      </c>
      <c r="O23" s="23" t="s">
        <v>231</v>
      </c>
      <c r="P23" s="23" t="s">
        <v>232</v>
      </c>
      <c r="Q23" s="23" t="s">
        <v>623</v>
      </c>
      <c r="R23" s="27" t="n">
        <v>10</v>
      </c>
    </row>
    <row r="24" customFormat="false" ht="60" hidden="false" customHeight="true" outlineLevel="0" collapsed="false">
      <c r="A24" s="28" t="s">
        <v>684</v>
      </c>
      <c r="B24" s="33" t="s">
        <v>20</v>
      </c>
      <c r="C24" s="28" t="s">
        <v>685</v>
      </c>
      <c r="D24" s="39" t="s">
        <v>21</v>
      </c>
      <c r="E24" s="28" t="s">
        <v>616</v>
      </c>
      <c r="F24" s="29" t="s">
        <v>686</v>
      </c>
      <c r="G24" s="29" t="s">
        <v>618</v>
      </c>
      <c r="H24" s="29" t="s">
        <v>619</v>
      </c>
      <c r="I24" s="29" t="s">
        <v>620</v>
      </c>
      <c r="J24" s="29" t="s">
        <v>621</v>
      </c>
      <c r="K24" s="28" t="s">
        <v>547</v>
      </c>
      <c r="L24" s="28" t="s">
        <v>622</v>
      </c>
      <c r="M24" s="28" t="s">
        <v>231</v>
      </c>
      <c r="N24" s="28" t="s">
        <v>53</v>
      </c>
      <c r="O24" s="28" t="s">
        <v>231</v>
      </c>
      <c r="P24" s="28" t="s">
        <v>232</v>
      </c>
      <c r="Q24" s="28" t="s">
        <v>623</v>
      </c>
      <c r="R24" s="30" t="n">
        <v>9</v>
      </c>
    </row>
  </sheetData>
  <mergeCells count="1">
    <mergeCell ref="A1:R1"/>
  </mergeCells>
  <conditionalFormatting sqref="R3:R24">
    <cfRule type="expression" priority="2" aboveAverage="0" equalAverage="0" bottom="0" percent="0" rank="0" text="" dxfId="18">
      <formula>R3&gt;=8</formula>
    </cfRule>
    <cfRule type="expression" priority="3" aboveAverage="0" equalAverage="0" bottom="0" percent="0" rank="0" text="" dxfId="19">
      <formula>R3&lt;=3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2026-08-16T15:02:46Z</dcterms:created>
  <dc:creator>openpyxl</dc:creator>
  <dc:description/>
  <dc:language>en-US</dc:language>
  <cp:lastModifiedBy/>
  <dcterms:modified xsi:type="dcterms:W3CDTF">2026-08-16T15:04:25Z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